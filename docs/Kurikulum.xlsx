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rdi\OneDrive\Dokumen\Kurikulum\"/>
    </mc:Choice>
  </mc:AlternateContent>
  <xr:revisionPtr revIDLastSave="0" documentId="13_ncr:1_{DA19EED8-A163-42A0-99EE-FB36846B5099}" xr6:coauthVersionLast="47" xr6:coauthVersionMax="47" xr10:uidLastSave="{00000000-0000-0000-0000-000000000000}"/>
  <bookViews>
    <workbookView xWindow="-110" yWindow="-110" windowWidth="19420" windowHeight="10300" firstSheet="1" activeTab="5" xr2:uid="{408E0616-7CD1-4B7F-98E2-1A179091455F}"/>
  </bookViews>
  <sheets>
    <sheet name="PL" sheetId="1" r:id="rId1"/>
    <sheet name="CPL" sheetId="2" r:id="rId2"/>
    <sheet name="IK CPL" sheetId="3" r:id="rId3"/>
    <sheet name="MK-CPL" sheetId="4" r:id="rId4"/>
    <sheet name="CPMK" sheetId="5" r:id="rId5"/>
    <sheet name="Bobot CPMK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9" i="6" l="1"/>
  <c r="S198" i="6"/>
  <c r="S197" i="6"/>
  <c r="S196" i="6"/>
  <c r="S195" i="6"/>
  <c r="S194" i="6"/>
  <c r="S193" i="6"/>
  <c r="R199" i="6"/>
  <c r="R198" i="6"/>
  <c r="R196" i="6"/>
  <c r="R195" i="6"/>
  <c r="R193" i="6"/>
  <c r="P197" i="6"/>
  <c r="P194" i="6"/>
  <c r="P199" i="6"/>
  <c r="P198" i="6"/>
  <c r="P196" i="6"/>
  <c r="P195" i="6"/>
  <c r="P193" i="6"/>
  <c r="S190" i="6"/>
  <c r="S189" i="6"/>
  <c r="S188" i="6"/>
  <c r="S187" i="6"/>
  <c r="S186" i="6"/>
  <c r="S185" i="6"/>
  <c r="R190" i="6"/>
  <c r="R185" i="6"/>
  <c r="P190" i="6"/>
  <c r="P189" i="6"/>
  <c r="P188" i="6"/>
  <c r="P187" i="6"/>
  <c r="P186" i="6"/>
  <c r="P185" i="6"/>
  <c r="S177" i="6"/>
  <c r="S178" i="6"/>
  <c r="S179" i="6"/>
  <c r="S180" i="6"/>
  <c r="S181" i="6"/>
  <c r="S182" i="6"/>
  <c r="S176" i="6"/>
  <c r="R182" i="6"/>
  <c r="R181" i="6"/>
  <c r="R180" i="6"/>
  <c r="R179" i="6"/>
  <c r="R178" i="6"/>
  <c r="R177" i="6"/>
  <c r="R176" i="6"/>
  <c r="P177" i="6"/>
  <c r="P178" i="6"/>
  <c r="P179" i="6"/>
  <c r="P180" i="6"/>
  <c r="P181" i="6"/>
  <c r="P182" i="6"/>
  <c r="P176" i="6"/>
  <c r="R172" i="6"/>
  <c r="R171" i="6"/>
  <c r="R169" i="6"/>
  <c r="R168" i="6"/>
  <c r="S168" i="6" s="1"/>
  <c r="P173" i="6"/>
  <c r="P172" i="6"/>
  <c r="P171" i="6"/>
  <c r="P170" i="6"/>
  <c r="S170" i="6" s="1"/>
  <c r="P169" i="6"/>
  <c r="S169" i="6" s="1"/>
  <c r="P168" i="6"/>
  <c r="R164" i="6"/>
  <c r="R160" i="6"/>
  <c r="P164" i="6"/>
  <c r="P163" i="6"/>
  <c r="P162" i="6"/>
  <c r="P161" i="6"/>
  <c r="P160" i="6"/>
  <c r="R156" i="6"/>
  <c r="R152" i="6"/>
  <c r="P156" i="6"/>
  <c r="S156" i="6" s="1"/>
  <c r="P155" i="6"/>
  <c r="P154" i="6"/>
  <c r="P153" i="6"/>
  <c r="P152" i="6"/>
  <c r="R147" i="6"/>
  <c r="R146" i="6"/>
  <c r="R144" i="6"/>
  <c r="P148" i="6"/>
  <c r="S148" i="6" s="1"/>
  <c r="P147" i="6"/>
  <c r="P146" i="6"/>
  <c r="P145" i="6"/>
  <c r="P144" i="6"/>
  <c r="R141" i="6"/>
  <c r="R140" i="6"/>
  <c r="R138" i="6"/>
  <c r="R137" i="6"/>
  <c r="P141" i="6"/>
  <c r="P140" i="6"/>
  <c r="P139" i="6"/>
  <c r="P138" i="6"/>
  <c r="P137" i="6"/>
  <c r="R130" i="6"/>
  <c r="R129" i="6"/>
  <c r="R127" i="6"/>
  <c r="S128" i="6" s="1"/>
  <c r="P131" i="6"/>
  <c r="P130" i="6"/>
  <c r="P129" i="6"/>
  <c r="P128" i="6"/>
  <c r="P127" i="6"/>
  <c r="R122" i="6"/>
  <c r="R121" i="6"/>
  <c r="R119" i="6"/>
  <c r="P123" i="6"/>
  <c r="P122" i="6"/>
  <c r="P121" i="6"/>
  <c r="P120" i="6"/>
  <c r="P119" i="6"/>
  <c r="R115" i="6"/>
  <c r="R112" i="6"/>
  <c r="P116" i="6"/>
  <c r="P115" i="6"/>
  <c r="P114" i="6"/>
  <c r="P113" i="6"/>
  <c r="P112" i="6"/>
  <c r="S107" i="6"/>
  <c r="R108" i="6"/>
  <c r="S109" i="6" s="1"/>
  <c r="R105" i="6"/>
  <c r="P109" i="6"/>
  <c r="P108" i="6"/>
  <c r="P107" i="6"/>
  <c r="P106" i="6"/>
  <c r="P105" i="6"/>
  <c r="S105" i="6" s="1"/>
  <c r="R100" i="6"/>
  <c r="R97" i="6"/>
  <c r="P101" i="6"/>
  <c r="P99" i="6"/>
  <c r="P100" i="6"/>
  <c r="P98" i="6"/>
  <c r="P97" i="6"/>
  <c r="R93" i="6"/>
  <c r="R92" i="6"/>
  <c r="R91" i="6"/>
  <c r="R89" i="6"/>
  <c r="P93" i="6"/>
  <c r="P92" i="6"/>
  <c r="P91" i="6"/>
  <c r="P90" i="6"/>
  <c r="S90" i="6"/>
  <c r="P89" i="6"/>
  <c r="R85" i="6"/>
  <c r="R82" i="6"/>
  <c r="R81" i="6"/>
  <c r="P85" i="6"/>
  <c r="P84" i="6"/>
  <c r="P83" i="6"/>
  <c r="P82" i="6"/>
  <c r="S82" i="6" s="1"/>
  <c r="P81" i="6"/>
  <c r="S81" i="6" s="1"/>
  <c r="R76" i="6"/>
  <c r="R73" i="6"/>
  <c r="P77" i="6"/>
  <c r="P76" i="6"/>
  <c r="S76" i="6" s="1"/>
  <c r="P75" i="6"/>
  <c r="S75" i="6" s="1"/>
  <c r="P74" i="6"/>
  <c r="S74" i="6" s="1"/>
  <c r="P73" i="6"/>
  <c r="S73" i="6" s="1"/>
  <c r="R68" i="6"/>
  <c r="R66" i="6"/>
  <c r="P70" i="6"/>
  <c r="P69" i="6"/>
  <c r="P68" i="6"/>
  <c r="P67" i="6"/>
  <c r="P66" i="6"/>
  <c r="R59" i="6"/>
  <c r="R57" i="6"/>
  <c r="R56" i="6"/>
  <c r="P60" i="6"/>
  <c r="P59" i="6"/>
  <c r="P58" i="6"/>
  <c r="P57" i="6"/>
  <c r="P56" i="6"/>
  <c r="R51" i="6"/>
  <c r="R50" i="6"/>
  <c r="R48" i="6"/>
  <c r="P52" i="6"/>
  <c r="P51" i="6"/>
  <c r="P50" i="6"/>
  <c r="P49" i="6"/>
  <c r="P48" i="6"/>
  <c r="R43" i="6"/>
  <c r="S43" i="6" s="1"/>
  <c r="R41" i="6"/>
  <c r="S41" i="6" s="1"/>
  <c r="P45" i="6"/>
  <c r="P44" i="6"/>
  <c r="P43" i="6"/>
  <c r="P42" i="6"/>
  <c r="P41" i="6"/>
  <c r="R37" i="6"/>
  <c r="R35" i="6"/>
  <c r="S36" i="6" s="1"/>
  <c r="R34" i="6"/>
  <c r="P38" i="6"/>
  <c r="P37" i="6"/>
  <c r="P36" i="6"/>
  <c r="P35" i="6"/>
  <c r="P34" i="6"/>
  <c r="R31" i="6"/>
  <c r="R27" i="6"/>
  <c r="P31" i="6"/>
  <c r="P30" i="6"/>
  <c r="P29" i="6"/>
  <c r="P28" i="6"/>
  <c r="P27" i="6"/>
  <c r="R23" i="6"/>
  <c r="R19" i="6"/>
  <c r="S19" i="6" s="1"/>
  <c r="P23" i="6"/>
  <c r="S23" i="6" s="1"/>
  <c r="P22" i="6"/>
  <c r="S22" i="6" s="1"/>
  <c r="P21" i="6"/>
  <c r="P20" i="6"/>
  <c r="P19" i="6"/>
  <c r="R15" i="6"/>
  <c r="R14" i="6"/>
  <c r="R13" i="6"/>
  <c r="R12" i="6"/>
  <c r="P16" i="6"/>
  <c r="P15" i="6"/>
  <c r="S15" i="6" s="1"/>
  <c r="P14" i="6"/>
  <c r="P13" i="6"/>
  <c r="P12" i="6"/>
  <c r="R9" i="6"/>
  <c r="R8" i="6"/>
  <c r="R7" i="6"/>
  <c r="R5" i="6"/>
  <c r="P9" i="6"/>
  <c r="P8" i="6"/>
  <c r="P7" i="6"/>
  <c r="P6" i="6"/>
  <c r="P5" i="6"/>
  <c r="H302" i="6"/>
  <c r="H299" i="6"/>
  <c r="H298" i="6"/>
  <c r="F302" i="6"/>
  <c r="I302" i="6" s="1"/>
  <c r="F301" i="6"/>
  <c r="F300" i="6"/>
  <c r="F299" i="6"/>
  <c r="F298" i="6"/>
  <c r="H293" i="6"/>
  <c r="H291" i="6"/>
  <c r="H290" i="6"/>
  <c r="F294" i="6"/>
  <c r="I294" i="6" s="1"/>
  <c r="F292" i="6"/>
  <c r="F293" i="6"/>
  <c r="F291" i="6"/>
  <c r="F290" i="6"/>
  <c r="F283" i="6"/>
  <c r="F284" i="6"/>
  <c r="F285" i="6"/>
  <c r="F286" i="6"/>
  <c r="F282" i="6"/>
  <c r="H286" i="6"/>
  <c r="H285" i="6"/>
  <c r="H284" i="6"/>
  <c r="H283" i="6"/>
  <c r="I283" i="6" s="1"/>
  <c r="H282" i="6"/>
  <c r="H276" i="6"/>
  <c r="H274" i="6"/>
  <c r="F278" i="6"/>
  <c r="F277" i="6"/>
  <c r="F276" i="6"/>
  <c r="F275" i="6"/>
  <c r="F274" i="6"/>
  <c r="H269" i="6"/>
  <c r="H266" i="6"/>
  <c r="F270" i="6"/>
  <c r="F269" i="6"/>
  <c r="F268" i="6"/>
  <c r="F267" i="6"/>
  <c r="F266" i="6"/>
  <c r="H261" i="6"/>
  <c r="H258" i="6"/>
  <c r="F262" i="6"/>
  <c r="F261" i="6"/>
  <c r="I261" i="6" s="1"/>
  <c r="F260" i="6"/>
  <c r="F259" i="6"/>
  <c r="F258" i="6"/>
  <c r="H254" i="6"/>
  <c r="H250" i="6"/>
  <c r="F254" i="6"/>
  <c r="F253" i="6"/>
  <c r="I253" i="6" s="1"/>
  <c r="F252" i="6"/>
  <c r="F251" i="6"/>
  <c r="F250" i="6"/>
  <c r="H245" i="6"/>
  <c r="H243" i="6"/>
  <c r="H242" i="6"/>
  <c r="F246" i="6"/>
  <c r="F245" i="6"/>
  <c r="F244" i="6"/>
  <c r="F243" i="6"/>
  <c r="F242" i="6"/>
  <c r="H236" i="6"/>
  <c r="H234" i="6"/>
  <c r="F238" i="6"/>
  <c r="F237" i="6"/>
  <c r="F236" i="6"/>
  <c r="F235" i="6"/>
  <c r="F234" i="6"/>
  <c r="H230" i="6"/>
  <c r="H227" i="6"/>
  <c r="F230" i="6"/>
  <c r="F229" i="6"/>
  <c r="F228" i="6"/>
  <c r="F227" i="6"/>
  <c r="H219" i="6"/>
  <c r="H217" i="6"/>
  <c r="F221" i="6"/>
  <c r="F220" i="6"/>
  <c r="F219" i="6"/>
  <c r="F218" i="6"/>
  <c r="F217" i="6"/>
  <c r="H212" i="6"/>
  <c r="H209" i="6"/>
  <c r="F213" i="6"/>
  <c r="F212" i="6"/>
  <c r="F211" i="6"/>
  <c r="F210" i="6"/>
  <c r="F209" i="6"/>
  <c r="H204" i="6"/>
  <c r="H201" i="6"/>
  <c r="F205" i="6"/>
  <c r="F204" i="6"/>
  <c r="F203" i="6"/>
  <c r="F202" i="6"/>
  <c r="F201" i="6"/>
  <c r="H197" i="6"/>
  <c r="H193" i="6"/>
  <c r="I195" i="6" s="1"/>
  <c r="F197" i="6"/>
  <c r="I197" i="6" s="1"/>
  <c r="F196" i="6"/>
  <c r="F195" i="6"/>
  <c r="F194" i="6"/>
  <c r="F193" i="6"/>
  <c r="H189" i="6"/>
  <c r="H187" i="6"/>
  <c r="H186" i="6"/>
  <c r="H185" i="6"/>
  <c r="F189" i="6"/>
  <c r="F188" i="6"/>
  <c r="F187" i="6"/>
  <c r="F186" i="6"/>
  <c r="F185" i="6"/>
  <c r="H176" i="6"/>
  <c r="F180" i="6"/>
  <c r="F179" i="6"/>
  <c r="F178" i="6"/>
  <c r="F177" i="6"/>
  <c r="F176" i="6"/>
  <c r="H170" i="6"/>
  <c r="H168" i="6"/>
  <c r="F172" i="6"/>
  <c r="I172" i="6" s="1"/>
  <c r="F171" i="6"/>
  <c r="I171" i="6" s="1"/>
  <c r="F170" i="6"/>
  <c r="F169" i="6"/>
  <c r="F168" i="6"/>
  <c r="H163" i="6"/>
  <c r="H162" i="6"/>
  <c r="H161" i="6"/>
  <c r="H160" i="6"/>
  <c r="F164" i="6"/>
  <c r="F163" i="6"/>
  <c r="F162" i="6"/>
  <c r="F161" i="6"/>
  <c r="F160" i="6"/>
  <c r="H156" i="6"/>
  <c r="H155" i="6"/>
  <c r="H153" i="6"/>
  <c r="H152" i="6"/>
  <c r="F156" i="6"/>
  <c r="F155" i="6"/>
  <c r="F154" i="6"/>
  <c r="F153" i="6"/>
  <c r="F152" i="6"/>
  <c r="H146" i="6"/>
  <c r="H144" i="6"/>
  <c r="F148" i="6"/>
  <c r="I148" i="6" s="1"/>
  <c r="F147" i="6"/>
  <c r="I147" i="6" s="1"/>
  <c r="F146" i="6"/>
  <c r="F145" i="6"/>
  <c r="F144" i="6"/>
  <c r="H140" i="6"/>
  <c r="H137" i="6"/>
  <c r="F140" i="6"/>
  <c r="F139" i="6"/>
  <c r="I139" i="6" s="1"/>
  <c r="F138" i="6"/>
  <c r="F137" i="6"/>
  <c r="H131" i="6"/>
  <c r="H130" i="6"/>
  <c r="H129" i="6"/>
  <c r="H128" i="6"/>
  <c r="H127" i="6"/>
  <c r="F131" i="6"/>
  <c r="F130" i="6"/>
  <c r="F129" i="6"/>
  <c r="F128" i="6"/>
  <c r="F127" i="6"/>
  <c r="H119" i="6"/>
  <c r="H120" i="6"/>
  <c r="F123" i="6"/>
  <c r="I123" i="6" s="1"/>
  <c r="F122" i="6"/>
  <c r="I122" i="6" s="1"/>
  <c r="F121" i="6"/>
  <c r="F120" i="6"/>
  <c r="F119" i="6"/>
  <c r="H113" i="6"/>
  <c r="H112" i="6"/>
  <c r="F115" i="6"/>
  <c r="F114" i="6"/>
  <c r="I114" i="6" s="1"/>
  <c r="F113" i="6"/>
  <c r="I113" i="6" s="1"/>
  <c r="F112" i="6"/>
  <c r="H105" i="6"/>
  <c r="F108" i="6"/>
  <c r="I108" i="6" s="1"/>
  <c r="F107" i="6"/>
  <c r="F106" i="6"/>
  <c r="F105" i="6"/>
  <c r="H100" i="6"/>
  <c r="H98" i="6"/>
  <c r="H97" i="6"/>
  <c r="F101" i="6"/>
  <c r="F100" i="6"/>
  <c r="F99" i="6"/>
  <c r="F98" i="6"/>
  <c r="F97" i="6"/>
  <c r="H93" i="6"/>
  <c r="H91" i="6"/>
  <c r="H89" i="6"/>
  <c r="F93" i="6"/>
  <c r="F92" i="6"/>
  <c r="F91" i="6"/>
  <c r="F90" i="6"/>
  <c r="F89" i="6"/>
  <c r="H84" i="6"/>
  <c r="H81" i="6"/>
  <c r="F85" i="6"/>
  <c r="I85" i="6" s="1"/>
  <c r="F84" i="6"/>
  <c r="F83" i="6"/>
  <c r="F82" i="6"/>
  <c r="F81" i="6"/>
  <c r="H77" i="6"/>
  <c r="H74" i="6"/>
  <c r="H73" i="6"/>
  <c r="F77" i="6"/>
  <c r="I77" i="6" s="1"/>
  <c r="F76" i="6"/>
  <c r="F75" i="6"/>
  <c r="F74" i="6"/>
  <c r="F73" i="6"/>
  <c r="H69" i="6"/>
  <c r="H66" i="6"/>
  <c r="I66" i="6" s="1"/>
  <c r="F69" i="6"/>
  <c r="I69" i="6" s="1"/>
  <c r="F68" i="6"/>
  <c r="I68" i="6" s="1"/>
  <c r="F67" i="6"/>
  <c r="F66" i="6"/>
  <c r="H60" i="6"/>
  <c r="H59" i="6"/>
  <c r="H58" i="6"/>
  <c r="H56" i="6"/>
  <c r="F59" i="6"/>
  <c r="F60" i="6"/>
  <c r="F58" i="6"/>
  <c r="F57" i="6"/>
  <c r="F56" i="6"/>
  <c r="H52" i="6"/>
  <c r="H49" i="6"/>
  <c r="H48" i="6"/>
  <c r="F51" i="6"/>
  <c r="F52" i="6"/>
  <c r="F50" i="6"/>
  <c r="F49" i="6"/>
  <c r="F48" i="6"/>
  <c r="H42" i="6"/>
  <c r="H41" i="6"/>
  <c r="F44" i="6"/>
  <c r="F43" i="6"/>
  <c r="F42" i="6"/>
  <c r="F41" i="6"/>
  <c r="H37" i="6"/>
  <c r="H34" i="6"/>
  <c r="F37" i="6"/>
  <c r="I37" i="6" s="1"/>
  <c r="F36" i="6"/>
  <c r="F35" i="6"/>
  <c r="F34" i="6"/>
  <c r="H27" i="6"/>
  <c r="F30" i="6"/>
  <c r="F29" i="6"/>
  <c r="F28" i="6"/>
  <c r="F27" i="6"/>
  <c r="H21" i="6"/>
  <c r="H19" i="6"/>
  <c r="F22" i="6"/>
  <c r="F23" i="6"/>
  <c r="F21" i="6"/>
  <c r="F20" i="6"/>
  <c r="F19" i="6"/>
  <c r="H15" i="6"/>
  <c r="H14" i="6"/>
  <c r="H13" i="6"/>
  <c r="H12" i="6"/>
  <c r="F15" i="6"/>
  <c r="F14" i="6"/>
  <c r="F13" i="6"/>
  <c r="F12" i="6"/>
  <c r="H8" i="6"/>
  <c r="H6" i="6"/>
  <c r="H5" i="6"/>
  <c r="F8" i="6"/>
  <c r="F7" i="6"/>
  <c r="F6" i="6"/>
  <c r="F5" i="6"/>
  <c r="H82" i="4"/>
  <c r="I82" i="4"/>
  <c r="J82" i="4"/>
  <c r="K82" i="4"/>
  <c r="L82" i="4"/>
  <c r="M82" i="4"/>
  <c r="N82" i="4"/>
  <c r="O82" i="4"/>
  <c r="P82" i="4"/>
  <c r="G82" i="4"/>
  <c r="M7" i="4"/>
  <c r="L7" i="4"/>
  <c r="K7" i="4"/>
  <c r="J7" i="4"/>
  <c r="I7" i="4"/>
  <c r="H7" i="4"/>
  <c r="S119" i="6" l="1"/>
  <c r="I219" i="6"/>
  <c r="I290" i="6"/>
  <c r="S5" i="6"/>
  <c r="S57" i="6"/>
  <c r="S98" i="6"/>
  <c r="S120" i="6"/>
  <c r="I74" i="6"/>
  <c r="I91" i="6"/>
  <c r="I160" i="6"/>
  <c r="I186" i="6"/>
  <c r="I236" i="6"/>
  <c r="I299" i="6"/>
  <c r="S6" i="6"/>
  <c r="S42" i="6"/>
  <c r="S50" i="6"/>
  <c r="S58" i="6"/>
  <c r="S68" i="6"/>
  <c r="S139" i="6"/>
  <c r="S145" i="6"/>
  <c r="S162" i="6"/>
  <c r="S171" i="6"/>
  <c r="I179" i="6"/>
  <c r="S160" i="6"/>
  <c r="I152" i="6"/>
  <c r="S9" i="6"/>
  <c r="I154" i="6"/>
  <c r="I161" i="6"/>
  <c r="I168" i="6"/>
  <c r="I176" i="6"/>
  <c r="I187" i="6"/>
  <c r="I212" i="6"/>
  <c r="I277" i="6"/>
  <c r="I286" i="6"/>
  <c r="I293" i="6"/>
  <c r="S69" i="6"/>
  <c r="S77" i="6"/>
  <c r="S140" i="6"/>
  <c r="S146" i="6"/>
  <c r="S154" i="6"/>
  <c r="S163" i="6"/>
  <c r="S172" i="6"/>
  <c r="I205" i="6"/>
  <c r="S108" i="6"/>
  <c r="I252" i="6"/>
  <c r="I98" i="6"/>
  <c r="S152" i="6"/>
  <c r="I30" i="6"/>
  <c r="I76" i="6"/>
  <c r="I84" i="6"/>
  <c r="I93" i="6"/>
  <c r="I129" i="6"/>
  <c r="I137" i="6"/>
  <c r="I146" i="6"/>
  <c r="I162" i="6"/>
  <c r="I169" i="6"/>
  <c r="I213" i="6"/>
  <c r="I251" i="6"/>
  <c r="I278" i="6"/>
  <c r="S8" i="6"/>
  <c r="S14" i="6"/>
  <c r="S20" i="6"/>
  <c r="S37" i="6"/>
  <c r="S52" i="6"/>
  <c r="S70" i="6"/>
  <c r="S147" i="6"/>
  <c r="S155" i="6"/>
  <c r="S173" i="6"/>
  <c r="I246" i="6"/>
  <c r="I254" i="6"/>
  <c r="S29" i="6"/>
  <c r="S101" i="6"/>
  <c r="S123" i="6"/>
  <c r="I57" i="6"/>
  <c r="I75" i="6"/>
  <c r="I83" i="6"/>
  <c r="I92" i="6"/>
  <c r="I99" i="6"/>
  <c r="I238" i="6"/>
  <c r="S16" i="6"/>
  <c r="S30" i="6"/>
  <c r="S51" i="6"/>
  <c r="S59" i="6"/>
  <c r="S67" i="6"/>
  <c r="S91" i="6"/>
  <c r="S97" i="6"/>
  <c r="S141" i="6"/>
  <c r="S161" i="6"/>
  <c r="I300" i="6"/>
  <c r="I204" i="6"/>
  <c r="I234" i="6"/>
  <c r="I269" i="6"/>
  <c r="I282" i="6"/>
  <c r="I292" i="6"/>
  <c r="I301" i="6"/>
  <c r="S12" i="6"/>
  <c r="S34" i="6"/>
  <c r="S60" i="6"/>
  <c r="S66" i="6"/>
  <c r="S84" i="6"/>
  <c r="S137" i="6"/>
  <c r="I156" i="6"/>
  <c r="S7" i="6"/>
  <c r="S83" i="6"/>
  <c r="S106" i="6"/>
  <c r="I36" i="6"/>
  <c r="I89" i="6"/>
  <c r="I140" i="6"/>
  <c r="I210" i="6"/>
  <c r="I235" i="6"/>
  <c r="I270" i="6"/>
  <c r="S13" i="6"/>
  <c r="S27" i="6"/>
  <c r="S35" i="6"/>
  <c r="S56" i="6"/>
  <c r="S85" i="6"/>
  <c r="S100" i="6"/>
  <c r="S113" i="6"/>
  <c r="S121" i="6"/>
  <c r="S138" i="6"/>
  <c r="S153" i="6"/>
  <c r="I82" i="6"/>
  <c r="I112" i="6"/>
  <c r="I170" i="6"/>
  <c r="S127" i="6"/>
  <c r="I97" i="6"/>
  <c r="I203" i="6"/>
  <c r="I245" i="6"/>
  <c r="I267" i="6"/>
  <c r="S28" i="6"/>
  <c r="S49" i="6"/>
  <c r="S122" i="6"/>
  <c r="S129" i="6"/>
  <c r="S144" i="6"/>
  <c r="I107" i="6"/>
  <c r="I163" i="6"/>
  <c r="I201" i="6"/>
  <c r="S112" i="6"/>
  <c r="I7" i="6"/>
  <c r="I21" i="6"/>
  <c r="I100" i="6"/>
  <c r="I127" i="6"/>
  <c r="I164" i="6"/>
  <c r="I188" i="6"/>
  <c r="I202" i="6"/>
  <c r="I217" i="6"/>
  <c r="I227" i="6"/>
  <c r="I242" i="6"/>
  <c r="I250" i="6"/>
  <c r="S21" i="6"/>
  <c r="S99" i="6"/>
  <c r="S130" i="6"/>
  <c r="I237" i="6"/>
  <c r="I8" i="6"/>
  <c r="I81" i="6"/>
  <c r="I90" i="6"/>
  <c r="I105" i="6"/>
  <c r="I128" i="6"/>
  <c r="I131" i="6"/>
  <c r="I144" i="6"/>
  <c r="I155" i="6"/>
  <c r="I189" i="6"/>
  <c r="I218" i="6"/>
  <c r="I228" i="6"/>
  <c r="I243" i="6"/>
  <c r="S48" i="6"/>
  <c r="S92" i="6"/>
  <c r="S131" i="6"/>
  <c r="I145" i="6"/>
  <c r="I185" i="6"/>
  <c r="I244" i="6"/>
  <c r="I275" i="6"/>
  <c r="S93" i="6"/>
  <c r="S114" i="6"/>
  <c r="I130" i="6"/>
  <c r="I153" i="6"/>
  <c r="I196" i="6"/>
  <c r="I291" i="6"/>
  <c r="I298" i="6"/>
  <c r="S115" i="6"/>
  <c r="S164" i="6"/>
  <c r="S116" i="6"/>
  <c r="S89" i="6"/>
  <c r="S44" i="6"/>
  <c r="S45" i="6"/>
  <c r="S38" i="6"/>
  <c r="S31" i="6"/>
  <c r="I177" i="6"/>
  <c r="I193" i="6"/>
  <c r="I67" i="6"/>
  <c r="I106" i="6"/>
  <c r="I194" i="6"/>
  <c r="I42" i="6"/>
  <c r="I180" i="6"/>
  <c r="I211" i="6"/>
  <c r="I5" i="6"/>
  <c r="I20" i="6"/>
  <c r="I35" i="6"/>
  <c r="I44" i="6"/>
  <c r="I120" i="6"/>
  <c r="I276" i="6"/>
  <c r="I285" i="6"/>
  <c r="I119" i="6"/>
  <c r="I178" i="6"/>
  <c r="I209" i="6"/>
  <c r="I50" i="6"/>
  <c r="I274" i="6"/>
  <c r="I29" i="6"/>
  <c r="I60" i="6"/>
  <c r="I258" i="6"/>
  <c r="I43" i="6"/>
  <c r="I51" i="6"/>
  <c r="I59" i="6"/>
  <c r="I73" i="6"/>
  <c r="I229" i="6"/>
  <c r="I259" i="6"/>
  <c r="I284" i="6"/>
  <c r="I268" i="6"/>
  <c r="I266" i="6"/>
  <c r="I262" i="6"/>
  <c r="I260" i="6"/>
  <c r="I230" i="6"/>
  <c r="I220" i="6"/>
  <c r="I221" i="6"/>
  <c r="I138" i="6"/>
  <c r="I121" i="6"/>
  <c r="I115" i="6"/>
  <c r="I101" i="6"/>
  <c r="I58" i="6"/>
  <c r="I6" i="6"/>
  <c r="I13" i="6"/>
  <c r="I34" i="6"/>
  <c r="I48" i="6"/>
  <c r="I56" i="6"/>
  <c r="I52" i="6"/>
  <c r="I27" i="6"/>
  <c r="I22" i="6"/>
  <c r="I28" i="6"/>
  <c r="I49" i="6"/>
  <c r="I14" i="6"/>
  <c r="I23" i="6"/>
  <c r="I15" i="6"/>
  <c r="I12" i="6"/>
  <c r="I41" i="6"/>
  <c r="I19" i="6"/>
</calcChain>
</file>

<file path=xl/sharedStrings.xml><?xml version="1.0" encoding="utf-8"?>
<sst xmlns="http://schemas.openxmlformats.org/spreadsheetml/2006/main" count="1815" uniqueCount="605">
  <si>
    <t>No</t>
  </si>
  <si>
    <t>Kode PL</t>
  </si>
  <si>
    <t>PL.01</t>
  </si>
  <si>
    <r>
      <t xml:space="preserve">Mampu </t>
    </r>
    <r>
      <rPr>
        <b/>
        <sz val="12"/>
        <color theme="1"/>
        <rFont val="Times New Roman"/>
        <family val="1"/>
      </rPr>
      <t>merancang, menganalisis, dan mengevaluasi sistem, infrastruktur,</t>
    </r>
    <r>
      <rPr>
        <sz val="12"/>
        <color theme="1"/>
        <rFont val="Times New Roman"/>
        <family val="1"/>
      </rPr>
      <t xml:space="preserve"> serta manajemen sumber daya air yang berkelanjutan berbasis teknologi dengan daya saing global</t>
    </r>
  </si>
  <si>
    <t>Deskripsi Kemampuan</t>
  </si>
  <si>
    <t>Profil Lulusan</t>
  </si>
  <si>
    <r>
      <rPr>
        <b/>
        <sz val="12"/>
        <color theme="1"/>
        <rFont val="Times New Roman"/>
        <family val="1"/>
      </rPr>
      <t>- Perancang dan Analis Profesional</t>
    </r>
    <r>
      <rPr>
        <sz val="12"/>
        <color theme="1"/>
        <rFont val="Times New Roman"/>
        <family val="1"/>
      </rPr>
      <t xml:space="preserve"> – Mampu merancang, menganalisis, dan mengevaluasi sistem serta infrastruktur sumber daya air yang efisien, berkelanjutan, dan berbasis teknologi mutakhir.</t>
    </r>
  </si>
  <si>
    <r>
      <rPr>
        <b/>
        <sz val="12"/>
        <color theme="1"/>
        <rFont val="Times New Roman"/>
        <family val="1"/>
      </rPr>
      <t>- Ahli Manajemen Sumber Daya Air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mbria"/>
        <family val="1"/>
      </rPr>
      <t>–</t>
    </r>
    <r>
      <rPr>
        <sz val="12"/>
        <color theme="1"/>
        <rFont val="Times New Roman"/>
        <family val="1"/>
      </rPr>
      <t xml:space="preserve"> Menguasai prinsip manajemen sumber daya air terpadu untuk mendukung pengelolaan lingkungan dan pembangunan berkelanjutan.</t>
    </r>
  </si>
  <si>
    <r>
      <rPr>
        <b/>
        <sz val="12"/>
        <color theme="1"/>
        <rFont val="Times New Roman"/>
        <family val="1"/>
      </rPr>
      <t>- Insinyur Berdaya Saing Global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mbria"/>
        <family val="1"/>
      </rPr>
      <t>–</t>
    </r>
    <r>
      <rPr>
        <sz val="12"/>
        <color theme="1"/>
        <rFont val="Times New Roman"/>
        <family val="1"/>
      </rPr>
      <t xml:space="preserve"> Memiliki kompetensi teknis, adaptif terhadap inovasi, dan mampu bersaing di tingkat nasional maupun internasional dalam bidang pengairan.</t>
    </r>
  </si>
  <si>
    <t>PL.02</t>
  </si>
  <si>
    <r>
      <t xml:space="preserve">Memiliki </t>
    </r>
    <r>
      <rPr>
        <b/>
        <sz val="11"/>
        <color theme="1"/>
        <rFont val="Times New Roman"/>
        <family val="1"/>
      </rPr>
      <t>pengetahuan dan keterampilan dalam perencanaan, desain, dan pengoperasian</t>
    </r>
    <r>
      <rPr>
        <sz val="11"/>
        <color theme="1"/>
        <rFont val="Times New Roman"/>
        <family val="1"/>
      </rPr>
      <t xml:space="preserve"> infrastruktur sumber daya air dengan daya saing global.</t>
    </r>
  </si>
  <si>
    <r>
      <rPr>
        <b/>
        <sz val="12"/>
        <color theme="1"/>
        <rFont val="Times New Roman"/>
        <family val="1"/>
      </rPr>
      <t>- Perencana Infrastruktur Sumber Daya Air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mbria"/>
        <family val="1"/>
      </rPr>
      <t>–</t>
    </r>
    <r>
      <rPr>
        <sz val="12"/>
        <color theme="1"/>
        <rFont val="Times New Roman"/>
        <family val="1"/>
      </rPr>
      <t xml:space="preserve"> Mampu menyusun rencana pengelolaan dan pengembangan infrastruktur sumber daya air yang efektif, efisien, dan berkelanjutan.</t>
    </r>
  </si>
  <si>
    <r>
      <rPr>
        <b/>
        <sz val="12"/>
        <color theme="1"/>
        <rFont val="Times New Roman"/>
        <family val="1"/>
      </rPr>
      <t>- Perancang Sistem Pengairan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mbria"/>
        <family val="1"/>
      </rPr>
      <t>–</t>
    </r>
    <r>
      <rPr>
        <sz val="12"/>
        <color theme="1"/>
        <rFont val="Times New Roman"/>
        <family val="1"/>
      </rPr>
      <t xml:space="preserve"> Menguasai prinsip dan teknik desain infrastruktur sumber daya air dengan penerapan teknologi modern untuk meningkatkan kinerja dan keandalan sistem.</t>
    </r>
  </si>
  <si>
    <r>
      <rPr>
        <b/>
        <sz val="12"/>
        <color theme="1"/>
        <rFont val="Times New Roman"/>
        <family val="1"/>
      </rPr>
      <t>- Profesional Berdaya Saing Global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mbria"/>
        <family val="1"/>
      </rPr>
      <t>–</t>
    </r>
    <r>
      <rPr>
        <sz val="12"/>
        <color theme="1"/>
        <rFont val="Times New Roman"/>
        <family val="1"/>
      </rPr>
      <t xml:space="preserve"> Siap berkontribusi di tingkat nasional dan internasional melalui kemampuan teknis, analitis, dan adaptif terhadap perkembangan teknologi dan kebutuhan global.</t>
    </r>
  </si>
  <si>
    <t>PL.03</t>
  </si>
  <si>
    <r>
      <t xml:space="preserve">Mampu menerapkan </t>
    </r>
    <r>
      <rPr>
        <b/>
        <sz val="11"/>
        <color theme="1"/>
        <rFont val="Times New Roman"/>
        <family val="1"/>
      </rPr>
      <t>etika profesi</t>
    </r>
    <r>
      <rPr>
        <sz val="11"/>
        <color theme="1"/>
        <rFont val="Times New Roman"/>
        <family val="1"/>
      </rPr>
      <t xml:space="preserve"> dan </t>
    </r>
    <r>
      <rPr>
        <b/>
        <sz val="11"/>
        <color theme="1"/>
        <rFont val="Times New Roman"/>
        <family val="1"/>
      </rPr>
      <t>nilai-nilai keislaman dengan menjunjung tinggi moralitas, tanggung jawab sosial, dan integritas</t>
    </r>
    <r>
      <rPr>
        <sz val="11"/>
        <color theme="1"/>
        <rFont val="Times New Roman"/>
        <family val="1"/>
      </rPr>
      <t xml:space="preserve"> demi pembangunan yang adil dan berkelanjutan yang berdaya saing global.</t>
    </r>
  </si>
  <si>
    <r>
      <rPr>
        <b/>
        <sz val="12"/>
        <color theme="1"/>
        <rFont val="Times New Roman"/>
        <family val="1"/>
      </rPr>
      <t>- Profesional Beretika dan Berintegritas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mbria"/>
        <family val="1"/>
      </rPr>
      <t>–</t>
    </r>
    <r>
      <rPr>
        <sz val="12"/>
        <color theme="1"/>
        <rFont val="Times New Roman"/>
        <family val="1"/>
      </rPr>
      <t xml:space="preserve"> Mampu menerapkan etika profesi serta menjunjung tinggi moralitas dan nilai-nilai keislaman dalam setiap aspek pekerjaan.</t>
    </r>
  </si>
  <si>
    <r>
      <rPr>
        <b/>
        <sz val="12"/>
        <color theme="1"/>
        <rFont val="Times New Roman"/>
        <family val="1"/>
      </rPr>
      <t>- Individu Bertanggung Jawab Sosial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mbria"/>
        <family val="1"/>
      </rPr>
      <t>–</t>
    </r>
    <r>
      <rPr>
        <sz val="12"/>
        <color theme="1"/>
        <rFont val="Times New Roman"/>
        <family val="1"/>
      </rPr>
      <t xml:space="preserve"> Berkomitmen terhadap tanggung jawab sosial dan berperan aktif dalam mewujudkan pembangunan yang adil dan berkelanjutan.</t>
    </r>
  </si>
  <si>
    <r>
      <rPr>
        <b/>
        <sz val="12"/>
        <color theme="1"/>
        <rFont val="Times New Roman"/>
        <family val="1"/>
      </rPr>
      <t>- Insan Unggul Berdaya Saing Global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mbria"/>
        <family val="1"/>
      </rPr>
      <t>–</t>
    </r>
    <r>
      <rPr>
        <sz val="12"/>
        <color theme="1"/>
        <rFont val="Times New Roman"/>
        <family val="1"/>
      </rPr>
      <t xml:space="preserve"> Memiliki karakter kuat, integritas tinggi, serta kemampuan adaptif untuk bersaing dan berkontribusi di tingkat nasional maupun internasional.</t>
    </r>
  </si>
  <si>
    <t>PL.04</t>
  </si>
  <si>
    <r>
      <t xml:space="preserve">Memiliki </t>
    </r>
    <r>
      <rPr>
        <b/>
        <sz val="12"/>
        <color theme="1"/>
        <rFont val="Times New Roman"/>
        <family val="1"/>
      </rPr>
      <t>jiwa kewirausahaan di bidang pengairan</t>
    </r>
    <r>
      <rPr>
        <sz val="12"/>
        <color theme="1"/>
        <rFont val="Times New Roman"/>
        <family val="1"/>
      </rPr>
      <t xml:space="preserve"> serta mampu menjadi </t>
    </r>
    <r>
      <rPr>
        <b/>
        <sz val="12"/>
        <color theme="1"/>
        <rFont val="Times New Roman"/>
        <family val="1"/>
      </rPr>
      <t>konsultan yang kompeten, mandiri, terpercaya, dan adaptif</t>
    </r>
    <r>
      <rPr>
        <sz val="12"/>
        <color theme="1"/>
        <rFont val="Times New Roman"/>
        <family val="1"/>
      </rPr>
      <t xml:space="preserve"> terhadap perubahan global serta kebutuhan masyarakat.</t>
    </r>
  </si>
  <si>
    <r>
      <t xml:space="preserve">- </t>
    </r>
    <r>
      <rPr>
        <b/>
        <sz val="12"/>
        <color theme="1"/>
        <rFont val="Times New Roman"/>
        <family val="1"/>
      </rPr>
      <t>Wirausahawan Inovatif di Bidang Pengairan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mbria"/>
        <family val="1"/>
      </rPr>
      <t>–</t>
    </r>
    <r>
      <rPr>
        <sz val="12"/>
        <color theme="1"/>
        <rFont val="Times New Roman"/>
        <family val="1"/>
      </rPr>
      <t xml:space="preserve"> Memiliki semangat kewirausahaan untuk mengembangkan solusi kreatif dan berkelanjutan dalam pengelolaan sumber daya air.</t>
    </r>
  </si>
  <si>
    <r>
      <t xml:space="preserve">- </t>
    </r>
    <r>
      <rPr>
        <b/>
        <sz val="12"/>
        <color theme="1"/>
        <rFont val="Times New Roman"/>
        <family val="1"/>
      </rPr>
      <t>Konsultan Profesional dan Kompeten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mbria"/>
        <family val="1"/>
      </rPr>
      <t>–</t>
    </r>
    <r>
      <rPr>
        <sz val="12"/>
        <color theme="1"/>
        <rFont val="Times New Roman"/>
        <family val="1"/>
      </rPr>
      <t xml:space="preserve"> Mampu memberikan layanan konsultasi yang andal, mandiri, dan berbasis keilmuan dalam perencanaan serta pengelolaan infrastruktur pengairan.</t>
    </r>
  </si>
  <si>
    <r>
      <rPr>
        <b/>
        <sz val="12"/>
        <color theme="1"/>
        <rFont val="Times New Roman"/>
        <family val="1"/>
      </rPr>
      <t>- Praktisi Adaptif dan Responsif Global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mbria"/>
        <family val="1"/>
      </rPr>
      <t>–</t>
    </r>
    <r>
      <rPr>
        <sz val="12"/>
        <color theme="1"/>
        <rFont val="Times New Roman"/>
        <family val="1"/>
      </rPr>
      <t xml:space="preserve"> Mampu beradaptasi terhadap perubahan global serta menjawab kebutuhan masyarakat melalui inovasi dan penerapan teknologi terkini.</t>
    </r>
  </si>
  <si>
    <t>Kode CPL</t>
  </si>
  <si>
    <t>Komponen</t>
  </si>
  <si>
    <t>CPL</t>
  </si>
  <si>
    <t>CPL-01</t>
  </si>
  <si>
    <t>Pengetahuan Umum</t>
  </si>
  <si>
    <t>Mampu menerapkan pengetahuan matematika, ilmu alam, dan teknologi informasi untuk memahami prinsip-prinsip dasar teknik sumber daya air.</t>
  </si>
  <si>
    <t>Indikator Kinerja</t>
  </si>
  <si>
    <t>CPL-02</t>
  </si>
  <si>
    <t>Keterampilan Khusus</t>
  </si>
  <si>
    <t>Mampu merancang sistem jaringan bangunan air dengan mempertimbangkan aspek hukum, ekonomi, lingkungan, sosial, politik, kesehatan dan keselamatan, serta keberlanjutan, serta mengenali dan/atau memanfaatkan potensi sumber daya local dan nasional dengan perspektif global.</t>
  </si>
  <si>
    <t>CPL-03</t>
  </si>
  <si>
    <t>Mampu merancang dan melakukan eksperimen laboratorium maupun pengamatan lapangan serta mampu menganalisis dan menginterpretasikan data untuk mendukung penilaian teknik sumber daya air.</t>
  </si>
  <si>
    <t>CPL-04</t>
  </si>
  <si>
    <t>Mampu mengidentifikasi, merumuskan, menganalisis, dan memecahkan permasalahan kompleks di bidang teknik sumber daya air.</t>
  </si>
  <si>
    <t>CPL-05</t>
  </si>
  <si>
    <t>Mampu menerapkan metode, keterampilan, dan alat rekayasa modern dalam praktik teknik sumber daya air.</t>
  </si>
  <si>
    <t>Keterampilan Umum</t>
  </si>
  <si>
    <t>Mampu berkomunikasi secara efektif baik secara lisan dan tertulis dalam menyampaikan ide maupun hasil analisis.</t>
  </si>
  <si>
    <t>CPL-06</t>
  </si>
  <si>
    <t>Mampu merencanakan, melaksanakan, dan mengevaluasi tugas Teknik sumber daya air sesuai dengan batasan yang tersedia.</t>
  </si>
  <si>
    <t>CPL-07</t>
  </si>
  <si>
    <t>CPL-08</t>
  </si>
  <si>
    <t>Mampu bekerja dalam tim multidisiplin dan multicultural.</t>
  </si>
  <si>
    <t>CPL-09</t>
  </si>
  <si>
    <t>Sikap</t>
  </si>
  <si>
    <t>Mampu bertanggung jawab secara profesional dan mematuhi etika profesional terhadap masyarakat dalam merancang dan mengelola infrastruktur Teknik sumber daya air yang aman.</t>
  </si>
  <si>
    <t>CPL-10</t>
  </si>
  <si>
    <t>Mampu menyadari pentingnya pembelajaran sepanjang hayat dengan menerapkan Al Islam Kemuhammadiyahan dan terus mengakses pengetahuan terbaru dan isu yang sejalan dengan perkembangan zaman di bidang sumber daya air.</t>
  </si>
  <si>
    <t>Mahasiswa mampu menjelaskan konsep-konsep dasar matematika  yang diperlukan dalam analisis sistem sumber daya air.</t>
  </si>
  <si>
    <t>Mahasiswa mampu menerapkan prinsip fisika dan kimia untuk menjelaskan fenomena air, seperti sifat fluida, perubahan fase, dan interaksi air–material.</t>
  </si>
  <si>
    <t>Mahasiswa mampu mengaplikasikan konsep ilmu alam untuk memahami proses-proses di lingkungan</t>
  </si>
  <si>
    <t>Mahasiswa dapat menerapkan pendekatan kuantitatif dalam pemecahan masalah sederhana pada bidang sumber daya air.</t>
  </si>
  <si>
    <r>
      <t>Mahasiswa mampu mengidentifikasi kebutuhan dan tujuan perancangan</t>
    </r>
    <r>
      <rPr>
        <sz val="11"/>
        <color theme="1"/>
        <rFont val="Times New Roman"/>
        <family val="1"/>
      </rPr>
      <t xml:space="preserve"> sistem jaringan bangunan air berdasarkan kondisi lapangan dan data teknis.</t>
    </r>
  </si>
  <si>
    <r>
      <t>Mahasiswa mampu merancang sistem yang berorientasi pada keberlanjutan</t>
    </r>
    <r>
      <rPr>
        <sz val="11"/>
        <color theme="1"/>
        <rFont val="Times New Roman"/>
        <family val="1"/>
      </rPr>
      <t xml:space="preserve"> dengan mempertimbangkan efisiensi air, energi, dampak jangka panjang, dan ketahanan iklim.</t>
    </r>
  </si>
  <si>
    <r>
      <t>Mahasiswa mampu menghasilkan alternatif desain jaringan bangunan air</t>
    </r>
    <r>
      <rPr>
        <sz val="11"/>
        <color theme="1"/>
        <rFont val="Times New Roman"/>
        <family val="1"/>
      </rPr>
      <t xml:space="preserve"> yang memenuhi persyaratan teknis sekaligus seimbang dalam aspek hukum, ekonomi, lingkungan, sosial, dan politik.</t>
    </r>
  </si>
  <si>
    <r>
      <t>Mahasiswa mampu mempertimbangkan potensi dan standar nasional</t>
    </r>
    <r>
      <rPr>
        <sz val="11"/>
        <color theme="1"/>
        <rFont val="Times New Roman"/>
        <family val="1"/>
      </rPr>
      <t xml:space="preserve"> dalam perencanaan, serta membandingkan dengan praktik dan referensi internasional.</t>
    </r>
  </si>
  <si>
    <r>
      <t>Mahasiswa mampu melakukan pengukuran lapangan</t>
    </r>
    <r>
      <rPr>
        <sz val="11"/>
        <color theme="1"/>
        <rFont val="Times New Roman"/>
        <family val="1"/>
      </rPr>
      <t xml:space="preserve"> (debit, kualitas air, geometri saluran, permeabilitas tanah, curah hujan, muka air tanah) dengan metode yang benar.</t>
    </r>
  </si>
  <si>
    <r>
      <t>Mahasiswa mampu mengumpulkan dan mencatat data secara akurat</t>
    </r>
    <r>
      <rPr>
        <sz val="11"/>
        <color theme="1"/>
        <rFont val="Times New Roman"/>
        <family val="1"/>
      </rPr>
      <t xml:space="preserve"> menggunakan instrumen pengukuran dan lembar observasi yang sesuai.</t>
    </r>
  </si>
  <si>
    <r>
      <t>Mahasiswa mampu melakukan pengolahan data</t>
    </r>
    <r>
      <rPr>
        <sz val="11"/>
        <color theme="1"/>
        <rFont val="Times New Roman"/>
        <family val="1"/>
      </rPr>
      <t xml:space="preserve"> (statistik dasar, regresi, kalibrasi, analisis grafik) menggunakan software atau alat analisis numerik.</t>
    </r>
  </si>
  <si>
    <r>
      <t>Mahasiswa mampu menginterpretasikan data secara ilmiah</t>
    </r>
    <r>
      <rPr>
        <sz val="11"/>
        <color theme="1"/>
        <rFont val="Times New Roman"/>
        <family val="1"/>
      </rPr>
      <t xml:space="preserve"> untuk menyimpulkan kondisi sistem sumber daya air atau menjawab tujuan penelitian/perancangan.</t>
    </r>
  </si>
  <si>
    <r>
      <t>Mahasiswa mampu menganalisis hasil eksperimen atau pengamatan</t>
    </r>
    <r>
      <rPr>
        <sz val="11"/>
        <color theme="1"/>
        <rFont val="Times New Roman"/>
        <family val="1"/>
      </rPr>
      <t xml:space="preserve"> untuk mengevaluasi fenomena hidrologi atau hidraulika.</t>
    </r>
  </si>
  <si>
    <r>
      <t>Mahasiswa mampu mengidentifikasi permasalahan kompleks</t>
    </r>
    <r>
      <rPr>
        <sz val="11"/>
        <color theme="1"/>
        <rFont val="Times New Roman"/>
        <family val="1"/>
      </rPr>
      <t xml:space="preserve"> terkait hidrologi, hidraulika, pengelolaan air, lingkungan air, atau bangunan air berdasarkan data lapangan, studi literatur, atau fenomena aktual.</t>
    </r>
  </si>
  <si>
    <r>
      <t>Mahasiswa mampu melakukan analisis data dan informasi teknis</t>
    </r>
    <r>
      <rPr>
        <sz val="11"/>
        <color theme="1"/>
        <rFont val="Times New Roman"/>
        <family val="1"/>
      </rPr>
      <t xml:space="preserve"> menggunakan metode kuantitatif maupun kualitatif untuk memahami akar masalah.</t>
    </r>
  </si>
  <si>
    <r>
      <t>Mahasiswa mampu memvalidasi hasil analisis atau pemodelan</t>
    </r>
    <r>
      <rPr>
        <sz val="11"/>
        <color theme="1"/>
        <rFont val="Times New Roman"/>
        <family val="1"/>
      </rPr>
      <t xml:space="preserve"> dengan membandingkan terhadap data lapangan, hasil eksperimen, atau referensi teknis yang tersedia.</t>
    </r>
  </si>
  <si>
    <r>
      <t>Mahasiswa mampu merumuskan masalah secara jelas dan spesifik</t>
    </r>
    <r>
      <rPr>
        <sz val="11"/>
        <color theme="1"/>
        <rFont val="Times New Roman"/>
        <family val="1"/>
      </rPr>
      <t>, termasuk batasan (constraints), asumsi, variabel, dan tujuan pemecahan masalah.</t>
    </r>
  </si>
  <si>
    <r>
      <t>Mahasiswa mampu melakukan pemodelan hidrologi dan hidraulika</t>
    </r>
    <r>
      <rPr>
        <sz val="11"/>
        <color theme="1"/>
        <rFont val="Times New Roman"/>
        <family val="1"/>
      </rPr>
      <t xml:space="preserve"> menggunakan metode modern, termasuk simulasi aliran, banjir, jaringan pipa, atau kualitas air.</t>
    </r>
  </si>
  <si>
    <r>
      <t>Mahasiswa mampu menggunakan perangkat lunak teknis</t>
    </r>
    <r>
      <rPr>
        <sz val="11"/>
        <color theme="1"/>
        <rFont val="Times New Roman"/>
        <family val="1"/>
      </rPr>
      <t xml:space="preserve"> seperti HEC-RAS, HEC-HMS, EPANET, SWMM, ArcGIS/QGIS, atau CFD tools untuk menyelesaikan permasalahan sumber daya air.</t>
    </r>
  </si>
  <si>
    <r>
      <t>Mahasiswa mampu memilih metode analisis atau alat rekayasa yang tepat</t>
    </r>
    <r>
      <rPr>
        <sz val="11"/>
        <color theme="1"/>
        <rFont val="Times New Roman"/>
        <family val="1"/>
      </rPr>
      <t xml:space="preserve"> berdasarkan karakteristik permasalahan teknik sumber daya air.</t>
    </r>
  </si>
  <si>
    <r>
      <t>Mahasiswa mampu menerapkan prinsip efisiensi dan efektivitas</t>
    </r>
    <r>
      <rPr>
        <sz val="11"/>
        <color theme="1"/>
        <rFont val="Times New Roman"/>
        <family val="1"/>
      </rPr>
      <t xml:space="preserve"> dalam penggunaan perangkat lunak dan alat rekayasa modern.</t>
    </r>
  </si>
  <si>
    <r>
      <t>Mahasiswa mampu menyusun laporan teknis, makalah, atau dokumen ilmiah</t>
    </r>
    <r>
      <rPr>
        <sz val="11"/>
        <color theme="1"/>
        <rFont val="Times New Roman"/>
        <family val="1"/>
      </rPr>
      <t xml:space="preserve"> dengan struktur yang sistematis, bahasa yang jelas, dan sesuai standar penulisan akademik/profesional.</t>
    </r>
  </si>
  <si>
    <r>
      <t>Mahasiswa mampu menggunakan media komunikasi modern</t>
    </r>
    <r>
      <rPr>
        <sz val="11"/>
        <color theme="1"/>
        <rFont val="Times New Roman"/>
        <family val="1"/>
      </rPr>
      <t xml:space="preserve"> untuk mendukung penyampaian informasi secara efektif.</t>
    </r>
  </si>
  <si>
    <r>
      <t>Mahasiswa mampu menggunakan bahasa Indonesia yang baik dan benar</t>
    </r>
    <r>
      <rPr>
        <sz val="11"/>
        <color theme="1"/>
        <rFont val="Times New Roman"/>
        <family val="1"/>
      </rPr>
      <t xml:space="preserve"> serta bahasa Inggris teknis yang memadai untuk keperluan akademik dan profesional.</t>
    </r>
  </si>
  <si>
    <r>
      <t>Mahasiswa mampu mengidentifikasi tujuan dan ruang lingkup tugas</t>
    </r>
    <r>
      <rPr>
        <sz val="11"/>
        <color theme="1"/>
        <rFont val="Times New Roman"/>
        <family val="1"/>
      </rPr>
      <t xml:space="preserve"> teknik sumber daya air secara jelas sesuai batasan waktu, data, biaya, dan sumber daya.</t>
    </r>
  </si>
  <si>
    <r>
      <t>Mahasiswa mampu menyusun rencana kerja yang sistematis</t>
    </r>
    <r>
      <rPr>
        <sz val="11"/>
        <color theme="1"/>
        <rFont val="Times New Roman"/>
        <family val="1"/>
      </rPr>
      <t>, termasuk penjadwalan, pembagian tugas, dan identifikasi kebutuhan teknis dalam penyelesaian pekerjaan.</t>
    </r>
  </si>
  <si>
    <r>
      <t>Mahasiswa mampu mengevaluasi hasil pekerjaan</t>
    </r>
    <r>
      <rPr>
        <sz val="11"/>
        <color theme="1"/>
        <rFont val="Times New Roman"/>
        <family val="1"/>
      </rPr>
      <t xml:space="preserve"> untuk memastikan kesesuaian dengan standar teknis, tujuan awal, dan batasan yang ditetapkan.</t>
    </r>
  </si>
  <si>
    <r>
      <t>Mahasiswa mampu memberikan rekomendasi perbaikan</t>
    </r>
    <r>
      <rPr>
        <sz val="11"/>
        <color theme="1"/>
        <rFont val="Times New Roman"/>
        <family val="1"/>
      </rPr>
      <t xml:space="preserve"> berdasarkan hasil evaluasi teknis dan pertimbangan praktis.</t>
    </r>
  </si>
  <si>
    <r>
      <t>Mahasiswa mampu bekerja dalam tim</t>
    </r>
    <r>
      <rPr>
        <sz val="11"/>
        <color theme="1"/>
        <rFont val="Times New Roman"/>
        <family val="1"/>
      </rPr>
      <t xml:space="preserve"> dan berkomunikasi secara profesional dengan anggota tim maupun pihak terkait untuk menyelesaikan tugas teknik.</t>
    </r>
  </si>
  <si>
    <r>
      <t>Mahasiswa mampu berperan aktif dalam tim</t>
    </r>
    <r>
      <rPr>
        <sz val="11"/>
        <color theme="1"/>
        <rFont val="Times New Roman"/>
        <family val="1"/>
      </rPr>
      <t xml:space="preserve"> dengan mengambil tanggung jawab yang jelas sesuai kompetensi masing-masing anggota.</t>
    </r>
  </si>
  <si>
    <r>
      <t>Mahasiswa mampu berkontribusi dalam pengambilan keputusan tim</t>
    </r>
    <r>
      <rPr>
        <sz val="11"/>
        <color theme="1"/>
        <rFont val="Times New Roman"/>
        <family val="1"/>
      </rPr>
      <t xml:space="preserve"> secara kolaboratif dan demokratis.</t>
    </r>
  </si>
  <si>
    <r>
      <t>Mahasiswa mampu bekerja sama dengan pihak luar</t>
    </r>
    <r>
      <rPr>
        <sz val="11"/>
        <color theme="1"/>
        <rFont val="Times New Roman"/>
        <family val="1"/>
      </rPr>
      <t xml:space="preserve"> (masyarakat, pemerintah, praktisi) yang memiliki latar belakang sosial dan budaya beragam dalam proyek teknik.</t>
    </r>
  </si>
  <si>
    <r>
      <t>Mahasiswa mampu menunjukkan etika komunikasi profesional</t>
    </r>
    <r>
      <rPr>
        <sz val="11"/>
        <color theme="1"/>
        <rFont val="Times New Roman"/>
        <family val="1"/>
      </rPr>
      <t>, termasuk kejelasan sumber data, pengakuan kontribusi pihak lain, dan penyampaian informasi secara objektif.</t>
    </r>
  </si>
  <si>
    <r>
      <t>Mahasiswa mampu bekerja secara mandiri maupun dalam tim</t>
    </r>
    <r>
      <rPr>
        <sz val="11"/>
        <color theme="1"/>
        <rFont val="Times New Roman"/>
        <family val="1"/>
      </rPr>
      <t xml:space="preserve"> untuk menyelesaikan tugas sesuai batasan yang ada, sambil menjaga profesionalisme dan etika kerja.</t>
    </r>
  </si>
  <si>
    <r>
      <t>Mahasiswa mampu mematuhi standar, regulasi, dan kode etik profesi</t>
    </r>
    <r>
      <rPr>
        <sz val="11"/>
        <color theme="1"/>
        <rFont val="Times New Roman"/>
        <family val="1"/>
      </rPr>
      <t xml:space="preserve"> seperti peraturan pemerintah, SNI, pedoman teknis, dan standar internasional yang relevan.</t>
    </r>
  </si>
  <si>
    <r>
      <t>Mahasiswa mampu menghindari praktik tidak etis</t>
    </r>
    <r>
      <rPr>
        <sz val="11"/>
        <color theme="1"/>
        <rFont val="Times New Roman"/>
        <family val="1"/>
      </rPr>
      <t>, seperti manipulasi data, plagiarisme, konflik kepentingan, atau penggunaan metode yang tidak aman.</t>
    </r>
  </si>
  <si>
    <r>
      <t>Mahasiswa mampu mempertahankan integritas profesional</t>
    </r>
    <r>
      <rPr>
        <sz val="11"/>
        <color theme="1"/>
        <rFont val="Times New Roman"/>
        <family val="1"/>
      </rPr>
      <t xml:space="preserve"> saat menghadapi tekanan atau pengaruh eksternal dalam proses perancangan atau pengelolaan infrastruktur air.</t>
    </r>
  </si>
  <si>
    <r>
      <t>Mahasiswa mampu menunjukkan sikap dan perilaku yang mencerminkan nilai-nilai Al Islam Kemuhammadiyahan</t>
    </r>
    <r>
      <rPr>
        <sz val="11"/>
        <color theme="1"/>
        <rFont val="Times New Roman"/>
        <family val="1"/>
      </rPr>
      <t xml:space="preserve"> (kejujuran, amanah, disiplin, tanggung jawab, dan etos kerja) dalam aktivitas akademik dan profesi.</t>
    </r>
  </si>
  <si>
    <r>
      <t>ahasiswa mampu mengikuti perkembangan isu-isu global dan nasional</t>
    </r>
    <r>
      <rPr>
        <sz val="11"/>
        <color theme="1"/>
        <rFont val="Times New Roman"/>
        <family val="1"/>
      </rPr>
      <t>, seperti perubahan iklim, ketahanan air, teknologi digital, dan keberlanjutan.</t>
    </r>
  </si>
  <si>
    <r>
      <t>Mahasiswa mampu menerapkan prinsip Al Islam Kemuhammadiyahan</t>
    </r>
    <r>
      <rPr>
        <sz val="11"/>
        <color theme="1"/>
        <rFont val="Times New Roman"/>
        <family val="1"/>
      </rPr>
      <t xml:space="preserve"> dalam pengambilan keputusan akademik dan profesional, termasuk menjunjung etika, kemaslahatan, dan tanggung jawab sosial.</t>
    </r>
  </si>
  <si>
    <r>
      <t>Mahasiswa mampu mengintegrasikan nilai spiritual, moral, dan kemanusiaan</t>
    </r>
    <r>
      <rPr>
        <sz val="11"/>
        <color theme="1"/>
        <rFont val="Times New Roman"/>
        <family val="1"/>
      </rPr>
      <t xml:space="preserve"> dalam memandang tantangan teknis dan sosial di bidang sumber daya air.</t>
    </r>
  </si>
  <si>
    <t>Mata Kuliah</t>
  </si>
  <si>
    <t>Kode Mata Kuliah</t>
  </si>
  <si>
    <t>SKS</t>
  </si>
  <si>
    <t>Semester 1</t>
  </si>
  <si>
    <t>Pendidikan Agama Islam</t>
  </si>
  <si>
    <t>Pendidikan Pancasila</t>
  </si>
  <si>
    <t>Matematika I</t>
  </si>
  <si>
    <t>Bahasa Indonesia</t>
  </si>
  <si>
    <t>Bahasa Inggris</t>
  </si>
  <si>
    <t>Komputer 1</t>
  </si>
  <si>
    <t>Fisika I</t>
  </si>
  <si>
    <t>Menggambar Teknik</t>
  </si>
  <si>
    <t>AW60910042105</t>
  </si>
  <si>
    <t>AW60910042101</t>
  </si>
  <si>
    <t>CW6220202301</t>
  </si>
  <si>
    <t>AW60910042103</t>
  </si>
  <si>
    <t>AW60910042106</t>
  </si>
  <si>
    <t>CW6220202102</t>
  </si>
  <si>
    <t>CW6220203103</t>
  </si>
  <si>
    <t>CW6220202104</t>
  </si>
  <si>
    <t>Semester 2</t>
  </si>
  <si>
    <t>AIK II (Peng. Studi Islam &amp; Kemuh. 2)</t>
  </si>
  <si>
    <t>AW60910042206</t>
  </si>
  <si>
    <t xml:space="preserve"> Mekanika Teknik I</t>
  </si>
  <si>
    <t>CW6220202201</t>
  </si>
  <si>
    <t>Matematika II</t>
  </si>
  <si>
    <t>CW6220202302</t>
  </si>
  <si>
    <t>Fisika II</t>
  </si>
  <si>
    <t>CW6220202303</t>
  </si>
  <si>
    <t>Hidrolika Dasar</t>
  </si>
  <si>
    <t>CW6220202204</t>
  </si>
  <si>
    <t>Pendidikan Kewarganegaraan</t>
  </si>
  <si>
    <t>AW60910042202</t>
  </si>
  <si>
    <t>Bahasa Inggris Teknik</t>
  </si>
  <si>
    <t>CW6220202205</t>
  </si>
  <si>
    <t>Ilmu Ukur Tanah &amp; Pemetaan</t>
  </si>
  <si>
    <t>CW6220202206</t>
  </si>
  <si>
    <t>Sains Kebumian (Hidrologi I)</t>
  </si>
  <si>
    <t>CW6220202207</t>
  </si>
  <si>
    <t>Semester 3</t>
  </si>
  <si>
    <t>AIK III (Aqidah Islam &amp; Kemuh. 3)</t>
  </si>
  <si>
    <t>AW60910042307</t>
  </si>
  <si>
    <t>Mekanika Teknik II</t>
  </si>
  <si>
    <t>Matematika III</t>
  </si>
  <si>
    <t>Kepemimpinan &amp; Kewirausahaan</t>
  </si>
  <si>
    <t>BW6042303</t>
  </si>
  <si>
    <t>Hidrolika Terapan</t>
  </si>
  <si>
    <t>Etika Profesi</t>
  </si>
  <si>
    <t>BW6042302</t>
  </si>
  <si>
    <t>Geologi</t>
  </si>
  <si>
    <t>CW6220202304</t>
  </si>
  <si>
    <t>Statistika &amp; Probabilitas</t>
  </si>
  <si>
    <t>CW6220202305</t>
  </si>
  <si>
    <t>Hidrologi II</t>
  </si>
  <si>
    <t>CW6220202306</t>
  </si>
  <si>
    <t>Pengelolaan Kualitas Jaringan Perpipaan</t>
  </si>
  <si>
    <t>CW6220202307</t>
  </si>
  <si>
    <t>Standarisasi Keselamatan Kerja</t>
  </si>
  <si>
    <t>CW6220202308</t>
  </si>
  <si>
    <t>Semester 4</t>
  </si>
  <si>
    <t>AIK IV (Ibadah Khassah &amp; Kemuh. 4)</t>
  </si>
  <si>
    <t>AW60910042408</t>
  </si>
  <si>
    <t>Matematika IV</t>
  </si>
  <si>
    <t>CP6220223401</t>
  </si>
  <si>
    <t>Mekanika Tanah I</t>
  </si>
  <si>
    <t>CW6220222401</t>
  </si>
  <si>
    <t>Ekonomi Teknik</t>
  </si>
  <si>
    <t>CW6220222402</t>
  </si>
  <si>
    <t>Teknik Lingkungan &amp; AMDAL</t>
  </si>
  <si>
    <t>CW6220222403</t>
  </si>
  <si>
    <t>Kimia</t>
  </si>
  <si>
    <t>CW6220222404</t>
  </si>
  <si>
    <t>Aplikasi Komputer 2</t>
  </si>
  <si>
    <t>CW6220222405</t>
  </si>
  <si>
    <t>Ilmu Tanah &amp; Tanaman</t>
  </si>
  <si>
    <t>CW6220222406</t>
  </si>
  <si>
    <t>Konstruksi Beton I</t>
  </si>
  <si>
    <t>CW6220222407</t>
  </si>
  <si>
    <t>Konstruksi Baja</t>
  </si>
  <si>
    <t>CW6220222408</t>
  </si>
  <si>
    <t>Semester 5</t>
  </si>
  <si>
    <t>Konstruksi Bendungan I</t>
  </si>
  <si>
    <t>CW6220222501</t>
  </si>
  <si>
    <t>Pemindahan Tanah Mekanis</t>
  </si>
  <si>
    <t>CP62202220501</t>
  </si>
  <si>
    <t>Manajemen Air</t>
  </si>
  <si>
    <t>CW6220222502</t>
  </si>
  <si>
    <t>Pengembangan Sumber Daya Air</t>
  </si>
  <si>
    <t>CW6220222503</t>
  </si>
  <si>
    <t>Perencanaan Drainase Kota</t>
  </si>
  <si>
    <t>CW6220222504</t>
  </si>
  <si>
    <t>Teknik Pantai</t>
  </si>
  <si>
    <t>CW6220222505</t>
  </si>
  <si>
    <t>Konstruksi Beton II</t>
  </si>
  <si>
    <t>CW6220222506</t>
  </si>
  <si>
    <t>Teknik Sungai I</t>
  </si>
  <si>
    <t>CW6220222507</t>
  </si>
  <si>
    <t>Teknik Pondasi</t>
  </si>
  <si>
    <t>CW6220222508</t>
  </si>
  <si>
    <t>Manajemen Konstruksi</t>
  </si>
  <si>
    <t>CW6220222509</t>
  </si>
  <si>
    <t>Metode Penelitian</t>
  </si>
  <si>
    <t>BW6042504</t>
  </si>
  <si>
    <t>Mekanika Tanah II</t>
  </si>
  <si>
    <t>CW6222022509</t>
  </si>
  <si>
    <t>Semester 6</t>
  </si>
  <si>
    <t>Konstruksi Bendungan II</t>
  </si>
  <si>
    <t>CW6220222601</t>
  </si>
  <si>
    <t>Transpor Sedimen</t>
  </si>
  <si>
    <t>CW6220222602</t>
  </si>
  <si>
    <t>Bangunan Irigasi</t>
  </si>
  <si>
    <t>CW6220222603</t>
  </si>
  <si>
    <t>Jaringan Irigasi</t>
  </si>
  <si>
    <t>CW6220222604</t>
  </si>
  <si>
    <t>Reklamasi &amp; Bangunan Pantai</t>
  </si>
  <si>
    <t>CW6220222605</t>
  </si>
  <si>
    <t>Pengelolaan Air Tanah</t>
  </si>
  <si>
    <t>CW6220222606</t>
  </si>
  <si>
    <t>Perencanaan &amp; Pengelolaan Waduk</t>
  </si>
  <si>
    <t>CW6220222607</t>
  </si>
  <si>
    <t>Perencanaan PLTA</t>
  </si>
  <si>
    <t>CW6220222608</t>
  </si>
  <si>
    <t>Teknik Jalan Raya</t>
  </si>
  <si>
    <t>CW6220222609</t>
  </si>
  <si>
    <t>Semester 7</t>
  </si>
  <si>
    <t>KKP-Plus</t>
  </si>
  <si>
    <t>BW6044705</t>
  </si>
  <si>
    <t>Capstone Design</t>
  </si>
  <si>
    <t>CW6222024701</t>
  </si>
  <si>
    <t>Seminar Usul/Proposal</t>
  </si>
  <si>
    <t>BW6042706</t>
  </si>
  <si>
    <t>Skripsi</t>
  </si>
  <si>
    <t>BW6046707</t>
  </si>
  <si>
    <t>Semester 8</t>
  </si>
  <si>
    <t>CPMK</t>
  </si>
  <si>
    <t>CPMK 1</t>
  </si>
  <si>
    <t>CPMK 2</t>
  </si>
  <si>
    <t>CPMK 3</t>
  </si>
  <si>
    <t>CPMK 4</t>
  </si>
  <si>
    <t>CPMK 5</t>
  </si>
  <si>
    <t>Bobot</t>
  </si>
  <si>
    <t>Menjelaskan konsep dasar etika profesi dan peranannya dalam dunia teknik</t>
  </si>
  <si>
    <t>Mengidentifikasi dilema etika yang umum terjadi dalam praktik teknik</t>
  </si>
  <si>
    <t>Menerapkan prinsip etika dalam pengambilan keputusan teknik yang kompleks</t>
  </si>
  <si>
    <t>Mempresentasikan pendapat secara profesional dan etis dalam forum akademik</t>
  </si>
  <si>
    <t>Menganalisis sistem instrumentasi dan pemantauan bendungan.</t>
  </si>
  <si>
    <t>Menerapkan metode evaluasi stabilitas bendungan pasca konstruksi.</t>
  </si>
  <si>
    <t>Merancang sistem pemantauan keamanan bendungan berdasarkan data teknis.</t>
  </si>
  <si>
    <t>Mengevaluasi fungsi dan pemeliharaan peralatan bendungan.</t>
  </si>
  <si>
    <t>Menilai risiko kegagalan dan menyusun rencana mitigasi struktural.</t>
  </si>
  <si>
    <t>Menjelaskan klasifikasi dan fungsi jaringan irigasi.</t>
  </si>
  <si>
    <t>Menghitung kebutuhan air irigasi berdasarkan data klimatologi dan tanaman.</t>
  </si>
  <si>
    <t>Menganalisis kapasitas saluran irigasi dan debit desain.</t>
  </si>
  <si>
    <t>Merancang sistem jaringan irigasi dari intake hingga saluran tersier.</t>
  </si>
  <si>
    <t>Menyusun laporan teknis dan presentasi desain jaringan irigasi.</t>
  </si>
  <si>
    <t>Teknik Sungai II</t>
  </si>
  <si>
    <t>Mengintegrasikan pengetahuan dan keterampilan teknik pengairan untuk merancang proyek SDA.</t>
  </si>
  <si>
    <t>Menerapkan prinsip rekayasa dalam pengembangan desain detail.</t>
  </si>
  <si>
    <t>Mempertimbangkan aspek hukum, ekonomi, lingkungan, sosial, dan keselamatan.</t>
  </si>
  <si>
    <t>Bekerja efektif dalam tim multidisiplin.</t>
  </si>
  <si>
    <t>Menyajikan hasil proyek secara lisan dan tertulis dengan baik.</t>
  </si>
  <si>
    <t>Menunjukkan sikap profesional dan etis dalam proses perancangan.</t>
  </si>
  <si>
    <t>Menunjukkan kesadaran terhadap pembelajaran sepanjang hayat.</t>
  </si>
  <si>
    <t>Merumuskan masalah penelitian yang relevan dengan bidang teknik sumber daya air.</t>
  </si>
  <si>
    <t>Melakukan kajian pustaka yang komprehensif.</t>
  </si>
  <si>
    <t>Merancang metodologi penelitian yang sesuai.</t>
  </si>
  <si>
    <t>Mengumpulkan dan menganalisis data penelitian.</t>
  </si>
  <si>
    <t>Menyajikan hasil penelitian dalam bentuk laporan ilmiah.</t>
  </si>
  <si>
    <t>Mempertahankan hasil penelitian di hadapan penguji.</t>
  </si>
  <si>
    <t>Menunjukkan sikap profesional, etis, dan mandiri dalam penelitian.</t>
  </si>
  <si>
    <t>CPMK 6</t>
  </si>
  <si>
    <t>CPMK 7</t>
  </si>
  <si>
    <t>Mahasiswa mampu menggunakan teknik penulisan akademik untuk mendukung publikasi dan presentasi ilmiah.</t>
  </si>
  <si>
    <t>Mahasiswa mampu menjelaskan prinsip dasar kewarganegaraan, konstitusi, nilai Pancasila, dan sistem demokrasi Indonesia secara komprehensif.</t>
  </si>
  <si>
    <t>Mahasiswa mampu menganalisis isu kebangsaan, hak dan kewajiban warga negara, serta tantangan multikulturalisme dalam konteks sosial Indonesia.</t>
  </si>
  <si>
    <t>Mahasiswa mampu menunjukkan sikap etis, toleran, bertanggung jawab, serta kesadaran berbangsa dan bernegara dalam kehidupan sosial.</t>
  </si>
  <si>
    <t>Mahasiswa mampu menerapkan perspektif kebangsaan dan nilai konstitusional dalam menilai dampak keputusan profesional di bidang sumber daya air dan masyarakat.</t>
  </si>
  <si>
    <t>Mahasiswa mampu menjelaskan prinsip-prinsip aqidah Islam secara benar sesuai Al-Qur’an, Sunnah, dan pandangan Muhammadiyah.</t>
  </si>
  <si>
    <t>Mahasiswa mampu menganalisis penerapan akidah dalam pembentukan akhlak, karakter profesional, dan integritas diri di lingkungan akademik dan sosial.</t>
  </si>
  <si>
    <t>Mahasiswa mampu menguraikan pemikiran, manhaj tarjih, dan peran Muhammadiyah dalam gerakan pembaruan Islam serta kontribusinya bagi pembangunan masyarakat.</t>
  </si>
  <si>
    <t>Mahasiswa mampu menjelaskan prinsip-prinsip fiqh ibadah dan muamalah dalam Islam berdasarkan Al-Qur’an, Sunnah, dan Manhaj Tarjih Muhammadiyah.</t>
  </si>
  <si>
    <t>Mahasiswa mampu menganalisis isu-isu ibadah dan muamalah kontemporer (ekonomi, sosial, digital) menggunakan pendekatan tarjih yang rasional dan berbasis dalil.</t>
  </si>
  <si>
    <t>Mahasiswa mampu mengevaluasi penerapan nilai ibadah, akhlak, dan muamalah Islami dalam kehidupan pribadi, sosial, dan lingkungan akademik.</t>
  </si>
  <si>
    <t>Mahasiswa mampu menerapkan prinsip-prinsip fiqh dan nilai-nilai Kemuhammadiyahan secara etis dan bertanggung jawab dalam pengambilan keputusan akademik dan aktivitas profesional.</t>
  </si>
  <si>
    <t>Mengidentifikasi, menganalisis, dan merumuskan permasalahan teknis di bidang sumber daya air (irigasi, drainase, bangunan air, konservasi air, atau hidrologi terapan) berdasarkan kondisi nyata di lapangan secara sistematis dan berbasis data.</t>
  </si>
  <si>
    <t>menyusun alternatif solusi dan rekomendasi teknis yang tepat dan aplikatif terhadap permasalahan pengairan di lokasi KKP, dengan mempertimbangkan aspek teknis, lingkungan, sosial, dan keberlanjutan</t>
  </si>
  <si>
    <t>menggunakan peralatan survei, instrumentsasi, software analisis/hidrolika/hidrologi, serta standar teknis (SNI, Permen, pedoman nasional) yang relevan dalam pelaksanaan kegiatan KKP</t>
  </si>
  <si>
    <t>berkomunikasi secara efektif, bekerja dalam tim lintas disiplin, menunjukkan etika profesional, serta beradaptasi dengan budaya kerja instansi atau lembaga tempat pelaksanaan KKP</t>
  </si>
  <si>
    <t>menyusun laporan teknis KKP secara lengkap, logis, dan sesuai kaidah ilmiah, serta mempresentasikan hasil kegiatan kepada dosen pembimbing dan pihak instansi secara profesional</t>
  </si>
  <si>
    <t>merumuskan latar belakang, ruang lingkup, dan identifikasi masalah penelitian secara sistematis dan didukung data atau fenomena relevan di bidang teknik pengairan.</t>
  </si>
  <si>
    <t>menyusun rumusan masalah, tujuan penelitian, batasan penelitian, serta manfaat penelitian secara jelas, logis, dan terukur</t>
  </si>
  <si>
    <t>mengumpulkan, menelaah, dan menyintesis literatur ilmiah (jurnal, SNI, pedoman teknis, buku referensi) untuk mendukung konsep, teori, dan metodologi yang digunakan dalam usulan penelitian</t>
  </si>
  <si>
    <t>menyusun metodologi penelitian yang tepat dan relevan, termasuk metode pengumpulan data, teknik analisis hidrologi/hidrolika/sumber daya air, serta perencanaan alat dan perangkat lunak yang akan digunakan</t>
  </si>
  <si>
    <t>menyusun proposal penelitian secara lengkap, sistematis, dan sesuai kaidah ilmiah, termasuk format penulisan, struktur laporan, sitasi, dan etika akademik.</t>
  </si>
  <si>
    <t>mempresentasikan usulan penelitian secara efektif, menjawab pertanyaan dan argumen dari dosen/penilai secara kritis dan ilmiah, serta menunjukkan penguasaan substansi penelitian di bidang teknik pengairan</t>
  </si>
  <si>
    <t>Mahasiswa mampu berkomunikasi secara tertulis untuk menyampaikan ide sumber daya air secara informatif dan etis.</t>
  </si>
  <si>
    <t>Mahasiswa mampu mengevaluasi penggunaan bahasa dalam laporan, makalah, dan tulisan sumber daya air secara profesional.</t>
  </si>
  <si>
    <t>✓</t>
  </si>
  <si>
    <t>Menginternalisasi dan menerapkan nilai-nilai Kemuhammadiyahan dalam kegiatan KKP melalui sikap amanah, kejujuran, kepedulian sosial, serta berkontribusi dalam kegiatan pengabdian masyarakat yang relevan dengan pengairan dan pemberdayaan lingkungan</t>
  </si>
  <si>
    <t>menjelaskan prinsip-prinsip dasar ajaran Islam terkait etika, akhlak, dan profesionalitas. (CPL 09)</t>
  </si>
  <si>
    <t>Mahasiswa mampu menerapkan nilai-nilai keislaman dalam sikap, perilaku akademik, dan pengambilan keputusan. (CPL 10)</t>
  </si>
  <si>
    <t>Mahasiswa mampu mengintegrasikan ajaran Islam dengan konteks sosial, budaya, dan profesi teknik pengairan. (CPL 10)</t>
  </si>
  <si>
    <t>Mahasiswa mampu menunjukkan komitmen terhadap nilai keberlanjutan, amanah, dan keadilan dalam praktik akademik. (CPL 08)</t>
  </si>
  <si>
    <t>Muatan CPMK</t>
  </si>
  <si>
    <t>Bobot CPMK (%)</t>
  </si>
  <si>
    <t>Muatan CPL</t>
  </si>
  <si>
    <t>CPL 09</t>
  </si>
  <si>
    <t>CPL 10</t>
  </si>
  <si>
    <t>CPL 08</t>
  </si>
  <si>
    <t>Rasio bobot CMPK per CPL</t>
  </si>
  <si>
    <t>Bobot CPL</t>
  </si>
  <si>
    <t>Rasio Bobot CPL</t>
  </si>
  <si>
    <t>Mahasiswa mampu menjelaskan nilai, prinsip, dan sistem etika Pancasila dalam kehidupan berbangsa dan bernegara. (CPL 09)</t>
  </si>
  <si>
    <t>Mahasiswa mampu menganalisis persoalan sosial dan profesional menggunakan perspektif etika Pancasila. (CPL 08)</t>
  </si>
  <si>
    <t>Mahasiswa mampu menunjukkan sikap integritas, moralitas, dan tanggung jawab sosial dalam aktivitas akademik. (CPL 09)</t>
  </si>
  <si>
    <t>Mahasiswa mampu menerapkan nilai-nilai Pancasila sebagai dasar pengambilan keputusan yang adil dan berkeadilan sosial. (CPL 08)</t>
  </si>
  <si>
    <t>Menganalisis grafik fungsi menggunakan turunan pertama dan kedua. (CPL 04)</t>
  </si>
  <si>
    <t>Menghitung integral tak tentu dan tertentu dari fungsi polinomial. (CPL 04)</t>
  </si>
  <si>
    <t>Menyusun model matematika sederhana (CPL 04)</t>
  </si>
  <si>
    <t>Menjelaskan konsep limit dan kontinuitas fungsi satu variabel. (CPL 01)</t>
  </si>
  <si>
    <t>Menerapkan aturan turunan dalam menyelesaikan persoalan teknik. CPL 01)</t>
  </si>
  <si>
    <t>CPL 01</t>
  </si>
  <si>
    <t>CPL 04</t>
  </si>
  <si>
    <t>CPL 06</t>
  </si>
  <si>
    <t>Mahasiswa mampu menyusun tulisan ilmiah yang efektif, logis, dan sesuai kaidah bahasa Indonesia akademik. (CPL 06)</t>
  </si>
  <si>
    <t>berbicara dan berinteraksi dalam bahasa Inggris pada situasi sehari-hari, memperkenalkan diri, memberikan pendapat sederhana, berdiskusi dalam kelompok kecil, dan menyampaikan informasi dasar dengan pelafalan yang dapat dipahami (CPL 10)</t>
  </si>
  <si>
    <t>memahami informasi lisan dalam percakapan sehari-hari dan situasi umum, seperti percakapan sosial, instruksi sederhana, dan dialog akademik dasar (CPL 06)</t>
  </si>
  <si>
    <t>membaca dan memahami teks bahasa Inggris umum, seperti artikel pendek, deskripsi, email, dan teks informatif, serta mengidentifikasi ide pokok, detail penting, dan makna kosakata dalam konteks (CPL 06)</t>
  </si>
  <si>
    <t>menulis kalimat dan paragraf sederhana dalam bahasa Inggris secara jelas dan koheren (CPL 06)</t>
  </si>
  <si>
    <t>menjelaskan komponen dasar sistem komputer, termasuk perangkat keras, perangkat lunak, sistem operasi, penyimpanan data (CPL 01)</t>
  </si>
  <si>
    <t>menggunakan aplikasi perkantoran dasar (word processing, spreadsheet, dan presentation) untuk membuat dokumen tekstual, tabel data, grafik sederhana, dan presentasi sesuai standar akademik (CPL 05)</t>
  </si>
  <si>
    <t>Menggunakan internet, mesin pencari, email, dan platform digital secara efektif serta memahami etika digital, keamanan siber dasar, dan penggunaan teknologi secara bertanggung jawab (CPL 05)</t>
  </si>
  <si>
    <t>Komputer I</t>
  </si>
  <si>
    <t>mengoperasikan sistem operasi (Windows/Linux) untuk melakukan manajemen file, pengaturan dasar, instalasi sederhana, dan navigasi perangkat komputer secara efektif (CPL 05)</t>
  </si>
  <si>
    <t>CPL 05</t>
  </si>
  <si>
    <t>Menjelaskan konsep kinematika gerak lurus dan gerak melingkar. (CPL 01)</t>
  </si>
  <si>
    <t>Menganalisis masalah dinamika menggunakan hukum Newton. (CPL 04)</t>
  </si>
  <si>
    <t>Menghitung usaha, energi kinetik, energi potensial, dan penerapannya. (CPL 04)</t>
  </si>
  <si>
    <t>Menganalisis tumbukan dan hukum kekekalan momentum. (CPL 04)</t>
  </si>
  <si>
    <t>Menjelaskan konsep getaran dan gelombang serta aplikasinya. (CPL 01)</t>
  </si>
  <si>
    <t>Menggambar proyeksi ortogonal dan tampak potongan bangunan teknik secara manual. (CPL 02)</t>
  </si>
  <si>
    <t>Mengoperasikan perangkat lunak CAD (Computer Aided Design) dasar. (CPL 05)</t>
  </si>
  <si>
    <t>Menganalisis gambar teknik dan mengoreksi kesalahan gambar. (CPL 02)</t>
  </si>
  <si>
    <t>Mempresentasikan hasil gambar teknik secara komunikatif dan profesional. (CPL 05)</t>
  </si>
  <si>
    <t>Menjelaskan prinsip dan standar dalam gambar teknik. (CPL 02)</t>
  </si>
  <si>
    <t>CPL 02</t>
  </si>
  <si>
    <t>Mahasiswa mampu menjelaskan konsep dasar ajaran Islam tentang akidah, ibadah, akhlak, dan moderasi beragama sesuai perspektif Muhammadiyah. (CPL 10)</t>
  </si>
  <si>
    <t>Mahasiswa mampu menganalisis nilai-nilai Islam dalam kehidupan sosial, budaya, dan profesional, serta keterkaitannya dengan pembangunan masyarakat. (CPL 10)</t>
  </si>
  <si>
    <t>Mahasiswa mampu menerapkan prinsip etika Islam, integritas, dan tanggung jawab sosial dalam aktivitas akademik dan interaksi profesional. (CPL 10)</t>
  </si>
  <si>
    <t>Mahasiswa mampu menginterpretasikan nilai dan pemikiran Muhammadiyah dalam merumuskan solusi terhadap isu kemasyarakatan dan tantangan kontemporer. (CPL 08)</t>
  </si>
  <si>
    <t>Menjelaskan konsep gaya, momen, dan hukum kesetimbangan. (CPL 01)</t>
  </si>
  <si>
    <t>Menghitung reaksi perletakan pada balok statis tertentu. (CPL 04)</t>
  </si>
  <si>
    <t>Membuat diagram gaya geser dan momen lentur. (CPL 04)</t>
  </si>
  <si>
    <t>Menganalisis struktur rangka batang menggunakan metode titik simpul dan metode persamaan. (CPL 04)</t>
  </si>
  <si>
    <t>Menyusun laporan teknis analisis gaya struktur sederhana. (CPL 01)</t>
  </si>
  <si>
    <t>Mekanika Teknik I</t>
  </si>
  <si>
    <t>Menghitung integral tak tentu dan tentu dari fungsi satu dan multi variabel. (CPL 04)</t>
  </si>
  <si>
    <t>Menyelesaikan persamaan diferensial orde satu dan orde dua. (CPL 04)</t>
  </si>
  <si>
    <t>Menganalisis deret tak hingga dan deret Fourier. (CPL 04)</t>
  </si>
  <si>
    <t>Menggunakan transformasi Laplace untuk menyelesaikan persamaan diferensial. (CPL 01)</t>
  </si>
  <si>
    <t>Menerapkan konsep matematika lanjut dalam studi kasus teknik pengairan. (CPL 01)</t>
  </si>
  <si>
    <t>Menjelaskan konsep dasar listrik statis dan medan listrik. (CPL 01)</t>
  </si>
  <si>
    <t>Menjelaskan konsep arus listrik, hukum Ohm, dan rangkaian listrik sederhana. (CPL 01)</t>
  </si>
  <si>
    <t>Menganalisis potensial listrik dan energi potensial muatan. (CPL 04)</t>
  </si>
  <si>
    <t>Menganalisis konsep kemagnetan dan induksi elektromagnetik. (CPL 04)</t>
  </si>
  <si>
    <t>Memahami konsep fisika modern dasar seperti relativitas khusus dan kuantum. (CPL 01)</t>
  </si>
  <si>
    <t>Menjelaskan sifat dan tekanan fluida dalam kondisi statis. (CPL 02)</t>
  </si>
  <si>
    <t>Menerapkan hukum kontinuitas dan energi dalam aliran fluida ideal. (CPL 05)</t>
  </si>
  <si>
    <t>Menganalisis kehilangan energi dalam aliran fluida nyata. (CPL 05)</t>
  </si>
  <si>
    <t>Menghitung debit aliran pada saluran terbuka dan pipa bertekanan. (CPL 02)</t>
  </si>
  <si>
    <t>Menyusun laporan teknis analisis hidrolika dasar (CPL 02)</t>
  </si>
  <si>
    <t>Pendidikan Kewarganegaraan (CPL 08)</t>
  </si>
  <si>
    <t>Mahasiswa mampu memahami dan menggunakan kosakata teknis sumber daya air dalam bahasa Inggris. (CPL 10)</t>
  </si>
  <si>
    <t>Mahasiswa mampu menulis paragraf teknis, deskripsi desain, dan laporan pendek dalam bahasa Inggris akademik. (CPL 06)</t>
  </si>
  <si>
    <t>Mahasiswa mampu mempresentasikan ide dasar sumber daya air secara lisan/tertulis menggunakan bahasa Inggris profesional. (CPL 06)</t>
  </si>
  <si>
    <t>Mahasiswa mampu membaca, menafsirkan, dan mengutip referensi sumber daya air berbahasa Inggris. (CPL 06)</t>
  </si>
  <si>
    <t>Menjelaskan prinsip dasar pengukuran dan pemetaan topografi. (CPL 02)</t>
  </si>
  <si>
    <t>Melakukan pengukuran jarak, sudut, dan elevasi menggunakan alat ukur manual dan digital. (CPL 05)</t>
  </si>
  <si>
    <t>Menggambar peta topografi dari data hasil pengukuran (CPL 05)</t>
  </si>
  <si>
    <t>Mengolah data pengukuran dengan perangkat lunak sederhana. (CPL 05)</t>
  </si>
  <si>
    <t>Menyusun laporan hasil pengukuran dan pemetaan topografi. (CPL 05)</t>
  </si>
  <si>
    <t>menjelaskan konsep dasar sistem Bumi, termasuk geosfer , proses internal-eksternal Bumi, dan keterkaitannya dengan fenomena alam (CPL 01)</t>
  </si>
  <si>
    <t>mengidentifikasi jenis batuan, mineral, tanah, serta struktur geologi berdasarkan karakteristik fisik dan proses pembentukannya, baik melalui pengamatan langsung maupun literatur (CPL 03)</t>
  </si>
  <si>
    <t>menerapkan konsep sains kebumian dalam analisis awal untuk perencanaan teknik, termasuk penentuan kondisi tanah, tata air, kestabilan lereng, dan evaluasi lingkungan pada suatu wilayah (CPL 02)</t>
  </si>
  <si>
    <t>menganalisis proses geologi (vulkanisme, tektonik, pelapukan, erosi, sedimentasi) dan mendeksripsikan bentuklahan (geomorfologi) serta implikasinya terhadap lingkungan dan pembangunan (CPL 05)</t>
  </si>
  <si>
    <t>menjelaskan keterkaitan proses kebumian dengan sumber daya alam (air, mineral, energi) dan potensi kebencanaan geologi seperti gempa, longsor, banjir, serta upaya mitigasinya (CPL 01)</t>
  </si>
  <si>
    <t>CPL 03</t>
  </si>
  <si>
    <t>Menganalisis struktur statis tak tentu menggunakan metode analitik (CPL 04)</t>
  </si>
  <si>
    <t>Menghitung lendutan pada struktur menggunakan metode energi dan integrasi (CPL 04)</t>
  </si>
  <si>
    <t>Menggunakan prinsip superposisi dan analisis numerik pada struktur kompleks (CPL 01)</t>
  </si>
  <si>
    <t>Menerapkan metode matriks atau perangkat lunak struktur sederhana (CPL 01)</t>
  </si>
  <si>
    <t>Menyusun laporan dan interpretasi hasil analisis struktur teknik sipil (CPL 01)</t>
  </si>
  <si>
    <t>Menerapkan konsep analisis vektor dalam masalah teknik (CPL 01)</t>
  </si>
  <si>
    <t>Menghitung diferensial vektor (gradien, divergensi, curl) (CPL 04)</t>
  </si>
  <si>
    <t>Menyelesaikan persamaan diferensial parsial (PDE) dasar (CPL 04)</t>
  </si>
  <si>
    <t>Menerapkan konsep fungsi kompleks dalam analisis teknik (CPL 01)</t>
  </si>
  <si>
    <t>Menggunakan transformasi integral (Fourier, Laplace) untuk menyelesaikan masalah teknik (CPL 04)</t>
  </si>
  <si>
    <t>Menjelaskan konsep kepemimpinan dan perannya dalam dunia teknik (CPL 07)</t>
  </si>
  <si>
    <t>Menganalisis keterampilan interpersonal dan komunikasi dalam tim kerja (CPL 04)</t>
  </si>
  <si>
    <t>Menjelaskan prinsip dasar kewirausahaan dan inovasi (CPL07)</t>
  </si>
  <si>
    <t>Menyusun rencana bisnis sederhana yang berkelanjutan (CPL 04)</t>
  </si>
  <si>
    <t>Mempresentasikan rencana bisnis dan kepemimpinan tim secara profesional (CPL 04)</t>
  </si>
  <si>
    <t>CPL 07</t>
  </si>
  <si>
    <t>Menganalisis aliran seragam dan aliran kritis di saluran terbuka (CPL 02)</t>
  </si>
  <si>
    <t>Menganalisis aliran tidak seragam menggunakan metode numerik (CPL 02)</t>
  </si>
  <si>
    <t>Menerapkan analisis aliran pada struktur pengatur (bendung, pintu air) (CPL 05)</t>
  </si>
  <si>
    <t>Menggunakan perangkat lunak untuk simulasi aliran saluran terbuka (CPL 05)</t>
  </si>
  <si>
    <t>Menyusun laporan analisis hidrolika terapan berbasis proyek (CPL 05)</t>
  </si>
  <si>
    <t>Etika Profesi (CPL 09)</t>
  </si>
  <si>
    <t>Menjelaskan struktur dan komposisi bumi (CPL 06)</t>
  </si>
  <si>
    <t xml:space="preserve">Menganalisis kode etik profesi teknik nasional dan internasional </t>
  </si>
  <si>
    <t>Mengidentifikasi jenis-jenis batuan dan mineral (CPL 03)</t>
  </si>
  <si>
    <t>Menjelaskan proses-proses geologi yang mempengaruhi permukaan bumi (CPL 06)</t>
  </si>
  <si>
    <t>Menerapkan pengetahuan geologi dalam perencanaan infrastruktur SDA (CPL 06)</t>
  </si>
  <si>
    <t>Menganalisis risiko geologi terhadap konstruksi teknik pengairan (CPL 03)</t>
  </si>
  <si>
    <t>Mampu menyajikan data dalam bentuk tabel, grafik, dan diagram (CPL 01)</t>
  </si>
  <si>
    <t>Menghitung ukuran pemusatan (mean, median, modus) dan ukuran penyebaran (range, varians, simpangan baku) (CPL 01)</t>
  </si>
  <si>
    <t>Menganalisis peluang kejadian menggunakan aturan peluang dasar (CPL 01)</t>
  </si>
  <si>
    <t>Menentukan distribusi probabilitas diskrit (binomial, Poisson) dan kontinu (normal) (CPL 01)</t>
  </si>
  <si>
    <t>Melakukan uji hipotesis sederhana dan analisis regresi linier (CPL 03)</t>
  </si>
  <si>
    <t>Menganalisis data hidrologi untuk perhitungan banjir rancangan (CPL 02)</t>
  </si>
  <si>
    <t>Menggunakan analisis frekuensi statistik pada data hujan dan debit (CPL 02)</t>
  </si>
  <si>
    <t>Membangun model hidrograf satuan dari data hujan dan debit (CPL 02)</t>
  </si>
  <si>
    <t>Mengaplikasikan perangkat lunak hidrologi dalam analisis curah hujan dan debit (CPL 03)</t>
  </si>
  <si>
    <t>Mengevaluasi hasil analisis hidrologi untuk pengambilan keputusan teknis (CPL 03)</t>
  </si>
  <si>
    <t>Menjelaskan parameter kualitas air dan standar baku mutu (CPL 02)</t>
  </si>
  <si>
    <t>Menganalisis proses dasar pengolahan air bersih (CPL 02)</t>
  </si>
  <si>
    <t>Merancang sistem jaringan perpipaan untuk distribusi air (CPL 02)</t>
  </si>
  <si>
    <t>Menerapkan prinsip hidrolika dalam sistem perpipaan bertekanan (CPL 05)</t>
  </si>
  <si>
    <t>Menyusun laporan dan presentasi sistem pengolahan dan jaringan distribusi (CPL 05)</t>
  </si>
  <si>
    <t>Menjelaskan konsep dasar keselamatan dan kesehatan kerja (K3) di proyek konstruksi (CPL 05)</t>
  </si>
  <si>
    <t>Menganalisis standar dan regulasi K3 nasional dan internasional (CPL 05)</t>
  </si>
  <si>
    <t>Merancang sistem manajemen K3 untuk proyek konstruksi (CPL 09)</t>
  </si>
  <si>
    <t>Mengevaluasi penerapan K3 di lapangan melalui studi kasus (CPL 09)</t>
  </si>
  <si>
    <t>Menyusun dan mempresentasikan laporan K3 proyek konstruksi (CPL 09)</t>
  </si>
  <si>
    <t>menerapkan metode numerik untuk menyelesaikan persamaan nonlinear (bisection, Newton–Raphson) dan sistem persamaan linear (eliminasi Gauss, Gauss–Seidel, Jacobi) serta menganalisis ketepatannya. (CPL 01)</t>
  </si>
  <si>
    <t>menjelaskan konsep dasar metode numerik, termasuk galat (error), stabilitas, konvergensi, dan pendekatan numerik terhadap permasalahan matematika teknik (CPL 01)</t>
  </si>
  <si>
    <t>menggunakan metode interpolasi (Newton, Lagrange), regresi, dan pendekatan kurva untuk memodelkan data teknik serta mengevaluasi hasil pemodelan (CPL 04)</t>
  </si>
  <si>
    <t>menghitung turunan dan integral secara numerik menggunakan metode finite difference, aturan trapezoid, Simpson, serta menerapkan metode ini dalam kasus teknik. (CPL 04)</t>
  </si>
  <si>
    <t>mengimplementasikan metode numerik menggunakan perangkat lunak atau bahasa pemrograman, mengolah data, serta menyajikan hasil analisis secara akurat (CPL 04)</t>
  </si>
  <si>
    <t>Menjelaskan konsep kapasitas dukung tanah untuk pondasi dangkal dan dalam. (CPL 01)</t>
  </si>
  <si>
    <t>Menganalisis kestabilan lereng alam dan buatan (CPL 05)</t>
  </si>
  <si>
    <t>Menghitung tekanan tanah lateral untuk desain dinding penahan tanah (CPL 05)</t>
  </si>
  <si>
    <t>Merancang sistem pondasi sesuai kondisi tanah dan beban struktur (CPL 03)</t>
  </si>
  <si>
    <t>Menyusun laporan teknis hasil analisis dan desain geoteknik (CPL 03)</t>
  </si>
  <si>
    <t>Menjelaskan prinsip dasar nilai waktu uang dan aplikasinya dalam proyek teknik (CPL 02)</t>
  </si>
  <si>
    <t>Menganalisis kelayakan finansial suatu proyek dengan berbagai metode evaluasi (CPL 02)</t>
  </si>
  <si>
    <t>Menerapkan konsep depresiasi dan pengaruh inflasi dalam analisis ekonomi proyek (CPL 02)</t>
  </si>
  <si>
    <t>Merancang studi kelayakan sederhana untuk proyek sumber daya air (CPL 02)</t>
  </si>
  <si>
    <t>Menyajikan hasil analisis ekonomi dalam bentuk presentasi yang sistematis (CPL 08)</t>
  </si>
  <si>
    <t>Menjelaskan prinsip dasar teknik lingkungan dan konsep pembangunan berkelanjutan (CPL 05)</t>
  </si>
  <si>
    <t>Menganalisis jenis dan sumber pencemaran air, udara, dan tanah (CPL 05)</t>
  </si>
  <si>
    <t>Mengenali prosedur dan komponen penyusunan dokumen AMDAL (CPL 05)</t>
  </si>
  <si>
    <t>Menyusun kajian dampak lingkungan awal dari suatu proyek SDA (CPL 09)</t>
  </si>
  <si>
    <t>Mempresentasikan hasil kajian AMDAL dan berdiskusi secara kritis (CPL 09)</t>
  </si>
  <si>
    <t>Menjelaskan struktur atom, tabel periodik, dan ikatan kimia (CPL 01)</t>
  </si>
  <si>
    <t>Menghitung stoikiometri reaksi kimia (CPL 01)</t>
  </si>
  <si>
    <t>Menjelaskan sifat-sifat larutan dan konsentrasinya (CPL 01)</t>
  </si>
  <si>
    <t>Menganalisis reaksi kimia yang terjadi di lingkungan perairan (CPL 05)</t>
  </si>
  <si>
    <t>Menerapkan konsep kimia dalam pengelolaan kualitas air (CPL 05)</t>
  </si>
  <si>
    <t>Menggunakan Microsoft Excel untuk pengolahan dan analisis data hidrologi. (CPL 01)</t>
  </si>
  <si>
    <t>Mengoperasikan AutoCAD untuk menggambar rancangan teknik sederhana. (CPL 01)</t>
  </si>
  <si>
    <t>Menerapkan QGIS untuk pengolahan data spasial dan pemetaan. (CPL 05)</t>
  </si>
  <si>
    <t>Menggunakan HEC-RAS untuk simulasi aliran sungai satu dimensi. (CPL 05)</t>
  </si>
  <si>
    <t>Menyusun laporan aplikasi perangkat lunak dan interpretasi hasil analisis. (CPL 05)</t>
  </si>
  <si>
    <t>Aplikasi Komputer II</t>
  </si>
  <si>
    <t>Menjelaskan sifat fisik dan kimia tanah serta pengaruhnya terhadap pertumbuhan tanaman (CPL 01)</t>
  </si>
  <si>
    <t>Menganalisis kebutuhan air tanaman berdasarkan jenis tanaman dan fase pertumbuhannya (CPL 05)</t>
  </si>
  <si>
    <t>Menjelaskan interaksi antara tanah, air, dan tanaman dalam sistem pertanian (CPL 01)</t>
  </si>
  <si>
    <t>Mengidentifikasi teknik konservasi tanah dan air dalam pengelolaan lahan (CPL 03)</t>
  </si>
  <si>
    <t>Menyusun laporan studi lapangan tentang klasifikasi tanah dan tanaman dominan (CPL 01)</t>
  </si>
  <si>
    <t>Ilmu Tanah Tanaman</t>
  </si>
  <si>
    <t>Menjelaskan sifat mekanik beton dan baja tulangan (CPL 02)</t>
  </si>
  <si>
    <t>Menerapkan konsep tegangan-leleh dan beban izin dalam beton bertulang (CPL 05)</t>
  </si>
  <si>
    <t>Menganalisis kekuatan lentur dan geser pada balok beton bertulang (CPL 05)</t>
  </si>
  <si>
    <t>Merancang balok beton satu bentang dengan beban merata (CPL 02)</t>
  </si>
  <si>
    <t>Menyusun laporan desain dan perhitungan struktur beton sederhana (CPL 02)</t>
  </si>
  <si>
    <t>Menjelaskan jenis dan karakteristik material serta profil struktur baja (CPL 02)</t>
  </si>
  <si>
    <t>Menganalisis beban, gaya dalam, dan respons struktur baja sederhana (CPL 05)</t>
  </si>
  <si>
    <t>Merancang elemen struktur baja seperti balok, kolom, dan sambungan (CPL 05)</t>
  </si>
  <si>
    <t>Mengevaluasi efisiensi dan keamanan desain struktur baja (CPL 05)</t>
  </si>
  <si>
    <t>Mempresentasikan hasil desain struktur baja secara profesional (CPL 02)</t>
  </si>
  <si>
    <t>Menganalisis tahapan konstruksi bendungan tipe urugan (CPL 02)</t>
  </si>
  <si>
    <t>Menerapkan spesifikasi teknis dan peraturan dalam konstruksi bendungan (CPL 05)</t>
  </si>
  <si>
    <t>Merancang urutan pekerjaan konstruksi berdasarkan data teknis (CPL 02)</t>
  </si>
  <si>
    <t>Menjelaskan aspek keselamatan konstruksi pada pembangunan bendungan (CPL 09)</t>
  </si>
  <si>
    <t>Menjelaskan tipe-tipe bendungan berdasarkan material dan fungsi (CPL 02)</t>
  </si>
  <si>
    <t>Menjelaskan jenis dan fungsi alat berat yang digunakan dalam pemindahan tanah (CPL 02)</t>
  </si>
  <si>
    <t>Menghitung produktivitas alat berat berdasarkan kondisi operasional di lapangan (CPL 05)</t>
  </si>
  <si>
    <t>Merancang perencanaan pekerjaan pemindahan tanah mekanis (CPL 02)</t>
  </si>
  <si>
    <t>Menganalisis biaya operasional dan efisiensi alat berat (CPL 05)</t>
  </si>
  <si>
    <t>Menyusun laporan teknis dan mempresentasikan rencana pekerjaan pemindahan tanah (CPL 05)</t>
  </si>
  <si>
    <t>Menjelaskan konsep dasar manajemen air terpadu (IWRM) (CPL 07)</t>
  </si>
  <si>
    <t>Menganalisis tantangan dan strategi pengelolaan air di berbagai sektor (CPL 07)</t>
  </si>
  <si>
    <t>Menerapkan konsep konservasi dan efisiensi penggunaan air (CPL 07)</t>
  </si>
  <si>
    <t>Merancang sistem manajemen air berbasis DAS dan keterlibatan pemangku kepentingan (CPL 07)</t>
  </si>
  <si>
    <t>Menyusun laporan dan mempresentasikan kebijakan dan strategi manajemen air (CPL 08)</t>
  </si>
  <si>
    <t>Menjelaskan prinsip dasar pengembangan sumber daya air terpadu (CPL 02)</t>
  </si>
  <si>
    <t>Menganalisis potensi dan kebutuhan air pada suatu wilayah DAS. (CPL 02)</t>
  </si>
  <si>
    <t>Menerapkan konsep konservasi, pengendalian, dan pemanfaatan SDA. (CPL 02)</t>
  </si>
  <si>
    <t>Merancang kerangka pengembangan SDA untuk multi sektor dan multipurpose. (CPL 02)</t>
  </si>
  <si>
    <t>Menyusun laporan pengembangan dan kebijakan pengelolaan SDA. (CPL 08)</t>
  </si>
  <si>
    <t>Merancang sistem drainase perkotaan berbasis peta tata guna lahan. (CPL 02)</t>
  </si>
  <si>
    <t>Menyusun laporan dan presentasi desain drainase kota yang berkelanjutan. (CPL 02)</t>
  </si>
  <si>
    <t>Menganalisis kapasitas saluran dan kebutuhan struktur pengendali. (CPL 05)</t>
  </si>
  <si>
    <t>Menghitung debit limpasan permukaan menggunakan metode rasional dan hidrograf satuan. (CPL 05)</t>
  </si>
  <si>
    <t>Menjelaskan konsep dan komponen sistem drainase perkotaan. (CPL 02)</t>
  </si>
  <si>
    <t>Menjelaskan proses fisik di wilayah pantai (gelombang, arus, sedimentasi). (CPL 04)</t>
  </si>
  <si>
    <t>Menganalisis transport sedimen dan perubahan garis pantai. (CPL 04)</t>
  </si>
  <si>
    <t>Menerapkan konsep desain struktur pantai seperti groin, breakwater, dan revetment. (CPL 05)</t>
  </si>
  <si>
    <t>Merancang sistem perlindungan pantai untuk kasus tertentu. (CPL 05)</t>
  </si>
  <si>
    <t>Menyusun laporan teknis dan evaluasi dampak lingkungan dari intervensi pantai. (CPL 05)</t>
  </si>
  <si>
    <t>Menjelaskan prinsip kerja struktur beton bertulang untuk elemen kolom, pelat, dan tangga. (CPL 02)</t>
  </si>
  <si>
    <t>Menganalisis kapasitas struktur kolom, pelat dua arah, dan tangga beton bertulang. (CPL 02)</t>
  </si>
  <si>
    <t>Menerapkan konsep detailing penulangan pada struktur bertingkat. (CPL 05)</t>
  </si>
  <si>
    <t>Merancang sistem struktur beton bertulang untuk bangunan sederhana tahan gempa. (CPL 02)</t>
  </si>
  <si>
    <t>Menyusun laporan desain dan presentasi struktur beton kompleks. (CPL 02)</t>
  </si>
  <si>
    <t>Menjelaskan morfologi dan hidraulika sungai. (CPL 02)</t>
  </si>
  <si>
    <t>Menganalisis debit banjir dan penelusuran banjir menggunakan data historis. (CPL 05)</t>
  </si>
  <si>
    <t>Menerapkan metode perbaikan alur sungai dan pengendalian banjir. (CPL 05)</t>
  </si>
  <si>
    <t>Merancang skema pengendalian banjir dan stabilisasi alur sungai. (CPL 02)</t>
  </si>
  <si>
    <t>Menyusun laporan evaluasi hidraulika sungai dan perencanaan pengendalian. (CPL 02)</t>
  </si>
  <si>
    <t>Menjelaskan jenis dan fungsi pondasi pada bangunan air. (CPL 05)</t>
  </si>
  <si>
    <t>Menganalisis daya dukung pondasi dangkal dan dalam. (CPL 05)</t>
  </si>
  <si>
    <t>Merancang sistem pondasi berdasarkan kondisi geoteknik. (CPL 03)</t>
  </si>
  <si>
    <t>Mengidentifikasi potensi keruntuhan pondasi dari studi kasus. (CPL 03)</t>
  </si>
  <si>
    <t>Menyusun laporan teknis evaluasi dan perencanaan pondasi. (CPL 03)</t>
  </si>
  <si>
    <t>Menjelaskan prinsip dan ruang lingkup manajemen proyek konstruksi. (CPL 07)</t>
  </si>
  <si>
    <t>Menyusun jadwal proyek menggunakan metode CPM/PERT. (CPL 07)</t>
  </si>
  <si>
    <t>Menghitung estimasi biaya proyek dan mengatur anggaran konstruksi. (CPL 07)</t>
  </si>
  <si>
    <t>Mengidentifikasi risiko dan strategi pengendalian proyek. (CPL 07)</t>
  </si>
  <si>
    <t>Menyusun laporan dan mempresentasikan hasil perencanaan proyek. (CPL 08)</t>
  </si>
  <si>
    <t>Menjelaskan konsep dasar dan jenis-jenis pendekatan penelitian. (CPL 06)</t>
  </si>
  <si>
    <t>Merumuskan masalah dan tujuan penelitian yang relevan dengan teknik sumber daya air. (CPL 06)</t>
  </si>
  <si>
    <t>Melakukan kajian literatur dan menyusun landasan teori. (CPL 06)</t>
  </si>
  <si>
    <t>Merancang metode penelitian dan teknik pengumpulan data. (CPL 03)</t>
  </si>
  <si>
    <t>Menyajikan dan mempertahankan proposal penelitian secara lisan. (CPL 03)</t>
  </si>
  <si>
    <t xml:space="preserve">Metode Penelitian </t>
  </si>
  <si>
    <t>menjelaskan dan menganalisis sifat-sifat mekanis tanah lanjutan, termasuk kuat geser tanah, pemadatan, konsolidasi, serta perilaku tegangan–regangan tanah dalam berbagai kondisi pembebanan. (CPL 05)</t>
  </si>
  <si>
    <t>menganalisis stabilitas lereng menggunakan metode keseimbangan batas (Fellenius, Bishop, Janbu) dan menentukan faktor keamanan pada berbagai kondisi geometri, jenis tanah, dan muka air tanah (CPL 03)</t>
  </si>
  <si>
    <t>menghitung tekanan tanah aktif, pasif, dan keadaan diam menggunakan teori Rankine/Coulomb serta merancang dinding penahan tanah berdasarkan analisis stabilitas dan deformasi (CPL 03)</t>
  </si>
  <si>
    <t>menganalisis daya dukung pondasi dangkal dan pondasi dalam menggunakan teori Terzaghi, Meyerhof, atau Vesic, serta mempertimbangkan faktor keamanan, kondisi tanah, dan beban bangunan. (CPL 03)</t>
  </si>
  <si>
    <t>mengaplikasikan konsep mekanika tanah lanjutan dalam perencanaan struktur geoteknik (pondasi, galian, timbunan, dinding penahan) dengan memanfaatkan data hasil uji laboratorium dan lapangan (CPL 05)</t>
  </si>
  <si>
    <t>Menjelaskan konsep dasar transpor sedimen dan klasifikasi jenis sedimen. (CPL 05)</t>
  </si>
  <si>
    <t>Menganalisis proses pengangkutan sedimen dan laju sedimentasi. (CPL 05)</t>
  </si>
  <si>
    <t>Menerapkan hasil analisis sedimen dalam perencanaan pengendalian sedimentasi. (CPL 05)</t>
  </si>
  <si>
    <t>Melakukan simulasi atau eksperimen sederhana terkait transpor sedimen. (CPL 02)</t>
  </si>
  <si>
    <t>Menyusun laporan hasil analisis dan desain pengelolaan sedimen. (CPL 02)</t>
  </si>
  <si>
    <t>Transportasi Sedimen</t>
  </si>
  <si>
    <t>Merancang bangunan irigasi secara teknis dan ekonomis. (CPL 02)</t>
  </si>
  <si>
    <t>Menghitung kapasitas dan dimensi bangunan irigasi berdasarkan data hidrologi. (CPL 02)</t>
  </si>
  <si>
    <t>Menjelaskan jenis dan fungsi bangunan irigasi sekunder dan tersier. (CPL 02)</t>
  </si>
  <si>
    <t>Mengevaluasi kinerja bangunan irigasi eksisting di lapangan. (CPL 05)</t>
  </si>
  <si>
    <t>Mempresentasikan hasil perencanaan dan evaluasi bangunan irigasi. (CPL 05)</t>
  </si>
  <si>
    <t>Menjelaskan karakteristik proses pantai dan pengaruh gelombang laut terhadap garis pantai. (CPL 04)</t>
  </si>
  <si>
    <t>Mengidentifikasi dan menjelaskan jenis bangunan pelindung pantai. (CPL 04)</t>
  </si>
  <si>
    <t>Merancang bangunan pantai berdasarkan kondisi gelombang dan garis pantai. (CPL 05)</t>
  </si>
  <si>
    <t>Menganalisis proyek reklamasi dan dampaknya terhadap lingkungan pesisir. (CPL 04)</t>
  </si>
  <si>
    <t>Menyusun laporan teknis dan mempresentasikan desain bangunan pantai. (CPL 04)</t>
  </si>
  <si>
    <t>Menjelaskan konsep dasar hidrogeologi dan sistem akuifer. (CPL 02)</t>
  </si>
  <si>
    <t>Menganalisis parameter hidraulik dan keseimbangan air tanah. (CPL 02)</t>
  </si>
  <si>
    <t>Menerapkan metode pemetaan dan pemodelan aliran air tanah. (CPL 05)</t>
  </si>
  <si>
    <t>Merancang strategi pengelolaan air tanah secara berkelanjutan. (CPL 02)</t>
  </si>
  <si>
    <t>Menyusun laporan teknis dan rekomendasi tata kelola air tanah. (CPL 02)</t>
  </si>
  <si>
    <t>Menjelaskan fungsi dan klasifikasi waduk berdasarkan tujuan dan skala. (CPL 02)</t>
  </si>
  <si>
    <t>Menghitung kapasitas tampungan dan volume efektif waduk. (CPL 07)</t>
  </si>
  <si>
    <t>Menganalisis kebutuhan air tahunan dan fluktuasi debit masuk. (CPL 07)</t>
  </si>
  <si>
    <t>Merancang kurva operasi waduk untuk kebutuhan multipurpose. (CPL 02)</t>
  </si>
  <si>
    <t>Mengevaluasi pengelolaan sedimentasi dan dampak lingkungan waduk. (CPL 07)</t>
  </si>
  <si>
    <t>Menjelaskan strategi pengelolaan sungai terpadu dan restorasi sungai. (CPL 02)</t>
  </si>
  <si>
    <t>Menganalisis data topografi dan aliran untuk pemodelan sungai. (CPL 02)</t>
  </si>
  <si>
    <t>Menerapkan konsep stabilisasi tebing dan alur sungai dengan struktur pelindung. (CPL 05)</t>
  </si>
  <si>
    <t>Merancang sistem pengendalian banjir berbasis data dan permodelan. (CPL 02)</t>
  </si>
  <si>
    <t>Menyusun laporan teknis dan presentasi solusi pengelolaan sungai. (CPL 02)</t>
  </si>
  <si>
    <t>Menjelaskan konsep dasar dan klasifikasi pembangkit listrik tenaga air. (CPL 02)</t>
  </si>
  <si>
    <t>Menganalisis potensi energi air berdasarkan data hidrologi dan topografi. (CPL 02)</t>
  </si>
  <si>
    <t>Merancang sistem PLTA sederhana sesuai kondisi teknis dan lingkungan. (CPL 02)</t>
  </si>
  <si>
    <t>Melakukan studi kelayakan teknis dan ekonomi sederhana. (CPL 02)</t>
  </si>
  <si>
    <t>Menyusun laporan proyek PLTA dan mempresentasikan rencana kepada publik. (CPL 08)</t>
  </si>
  <si>
    <t>Menjelaskan klasifikasi jalan dan prinsip dasar perencanaan jalan raya. (CPL 02)</t>
  </si>
  <si>
    <t>Menganalisis elemen geometrik jalan seperti alinyemen horizontal dan vertikal. (CPL 02)</t>
  </si>
  <si>
    <t>Menjelaskan jenis dan sifat material perkerasan jalan. (CPL 02)</t>
  </si>
  <si>
    <t>Merancang struktur perkerasan lentur dan kaku berdasarkan beban lalu lintas. (CPL 02)</t>
  </si>
  <si>
    <t>Menyajikan laporan teknis hasil perencanaan dan evaluasi jalan. (CPL 05)</t>
  </si>
  <si>
    <t>Semester 7&amp;8</t>
  </si>
  <si>
    <t>Mengidentifikasi, menganalisis, dan merumuskan permasalahan teknis di bidang sumber daya air (irigasi, drainase, bangunan air, konservasi air, atau hidrologi terapan) berdasarkan kondisi nyata di lapangan secara sistematis dan berbasis data. (CPL 02)</t>
  </si>
  <si>
    <t>menyusun alternatif solusi dan rekomendasi teknis yang tepat dan aplikatif terhadap permasalahan pengairan di lokasi KKP, dengan mempertimbangkan aspek teknis, lingkungan, sosial, dan keberlanjutan (CPL 07)</t>
  </si>
  <si>
    <t>menggunakan peralatan survei, instrumentsasi, software analisis/hidrolika/hidrologi, serta standar teknis (SNI, Permen, pedoman nasional) yang relevan dalam pelaksanaan kegiatan KKP (CPL 07)</t>
  </si>
  <si>
    <t>berkomunikasi secara efektif, bekerja dalam tim lintas disiplin, menunjukkan etika profesional, serta beradaptasi dengan budaya kerja instansi atau lembaga tempat pelaksanaan KKP (CPL 08)</t>
  </si>
  <si>
    <t>menyusun laporan teknis KKP secara lengkap, logis, dan sesuai kaidah ilmiah, serta mempresentasikan hasil kegiatan kepada dosen pembimbing dan pihak instansi secara profesional (CPL 07)</t>
  </si>
  <si>
    <t>Menginternalisasi dan menerapkan nilai-nilai Kemuhammadiyahan dalam kegiatan KKP melalui sikap amanah, kejujuran, kepedulian sosial, serta berkontribusi dalam kegiatan pengabdian masyarakat yang relevan dengan pengairan dan pemberdayaan lingkungan (CPL 07)</t>
  </si>
  <si>
    <t>KKP PLUS</t>
  </si>
  <si>
    <t>Mengintegrasikan pengetahuan dan keterampilan teknik pengairan untuk merancang proyek SDA. (CPL 04)</t>
  </si>
  <si>
    <t>Menerapkan prinsip rekayasa dalam pengembangan desain detail. (CPL 05)</t>
  </si>
  <si>
    <t>Mempertimbangkan aspek hukum, ekonomi, lingkungan, sosial, dan keselamatan. (CPL 02)</t>
  </si>
  <si>
    <t>Bekerja efektif dalam tim multidisiplin. (CPL 08)</t>
  </si>
  <si>
    <t>Menyajikan hasil proyek secara lisan dan tertulis dengan baik. (CPL 06)</t>
  </si>
  <si>
    <t>Menunjukkan sikap profesional dan etis dalam proses perancangan. (CPL 09)</t>
  </si>
  <si>
    <t>Menunjukkan kesadaran terhadap pembelajaran sepanjang hayat. (CPL 10)</t>
  </si>
  <si>
    <t>merumuskan latar belakang, ruang lingkup, dan identifikasi masalah penelitian secara sistematis dan didukung data atau fenomena relevan di bidang teknik pengairan. (CPL 03)</t>
  </si>
  <si>
    <t>menyusun rumusan masalah, tujuan penelitian, batasan penelitian, serta manfaat penelitian secara jelas, logis, dan terukur (CPL 03)</t>
  </si>
  <si>
    <t>mengumpulkan, menelaah, dan menyintesis literatur ilmiah (jurnal, SNI, pedoman teknis, buku referensi) untuk mendukung konsep, teori, dan metodologi yang digunakan dalam usulan penelitian (CPL 03)</t>
  </si>
  <si>
    <t>menyusun metodologi penelitian yang tepat dan relevan, termasuk metode pengumpulan data, teknik analisis hidrologi/hidrolika/sumber daya air, serta perencanaan alat dan perangkat lunak yang akan digunakan (CPL 03)</t>
  </si>
  <si>
    <t>menyusun proposal penelitian secara lengkap, sistematis, dan sesuai kaidah ilmiah, termasuk format penulisan, struktur laporan, sitasi, dan etika akademik. (CPL 03)</t>
  </si>
  <si>
    <t>mempresentasikan usulan penelitian secara efektif, menjawab pertanyaan dan argumen dari dosen/penilai secara kritis dan ilmiah, serta menunjukkan penguasaan substansi penelitian di bidang teknik pengairan (CPL 06)</t>
  </si>
  <si>
    <t>Merumuskan masalah penelitian yang relevan dengan bidang teknik sumber daya air. (CPL 04)</t>
  </si>
  <si>
    <t>Melakukan kajian pustaka yang komprehensif. (CPL 04)</t>
  </si>
  <si>
    <t>Merancang metodologi penelitian yang sesuai. (CPL 05)</t>
  </si>
  <si>
    <t>Mengumpulkan dan menganalisis data penelitian. (CPL 03)</t>
  </si>
  <si>
    <t>Menyajikan hasil penelitian dalam bentuk laporan ilmiah. (CPL 03)</t>
  </si>
  <si>
    <t>Mempertahankan hasil penelitian di hadapan penguji. (CPL 06)</t>
  </si>
  <si>
    <t>Menunjukkan sikap profesional, etis, dan mandiri dalam penelitian. (CPL 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</si>
</sst>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sz val="12"/>
      <color theme="1"/>
      <name val="Cambria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EE0000"/>
      <name val="Times New Roman"/>
      <family val="1"/>
    </font>
    <font>
      <sz val="11"/>
      <color theme="1"/>
      <name val="Cambria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6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justify" vertical="center"/>
    </xf>
    <xf numFmtId="0" fontId="3" fillId="0" borderId="1" xfId="0" quotePrefix="1" applyFont="1" applyBorder="1" applyAlignment="1">
      <alignment horizontal="justify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5" fillId="0" borderId="1" xfId="0" quotePrefix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justify" vertical="center" wrapText="1"/>
    </xf>
    <xf numFmtId="0" fontId="9" fillId="0" borderId="5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1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64" fontId="0" fillId="0" borderId="0" xfId="0" applyNumberFormat="1"/>
    <xf numFmtId="164" fontId="14" fillId="0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3" fillId="0" borderId="0" xfId="0" applyFont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mardi\OneDrive\Dokumen\Kurikulum\Matriks_Peta_Kurikulum_Teknik_Pengairan_OBE_v2.xlsx" TargetMode="External"/><Relationship Id="rId1" Type="http://schemas.openxmlformats.org/officeDocument/2006/relationships/externalLinkPath" Target="Matriks_Peta_Kurikulum_Teknik_Pengairan_OB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PMK &amp; Bobot &amp; SKS"/>
      <sheetName val="Matriks Kurikulum (pts)"/>
      <sheetName val="Matriks Kurikulum (%)"/>
      <sheetName val="Peta Kurikulum (semester CPL pt"/>
      <sheetName val="Ringkasan Program CPL"/>
    </sheetNames>
    <sheetDataSet>
      <sheetData sheetId="0"/>
      <sheetData sheetId="1">
        <row r="7"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7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B5AF-149E-4584-A7CB-2FADEBC6AD49}">
  <dimension ref="B4:E16"/>
  <sheetViews>
    <sheetView topLeftCell="A11" workbookViewId="0">
      <selection activeCell="D11" sqref="D11:D13"/>
    </sheetView>
  </sheetViews>
  <sheetFormatPr defaultRowHeight="14" x14ac:dyDescent="0.3"/>
  <cols>
    <col min="1" max="1" width="8.7265625" style="1"/>
    <col min="2" max="2" width="4.26953125" style="2" customWidth="1"/>
    <col min="3" max="3" width="11.36328125" style="1" customWidth="1"/>
    <col min="4" max="4" width="88.54296875" style="1" customWidth="1"/>
    <col min="5" max="5" width="71.26953125" style="1" customWidth="1"/>
    <col min="6" max="16384" width="8.7265625" style="1"/>
  </cols>
  <sheetData>
    <row r="4" spans="2:5" x14ac:dyDescent="0.3">
      <c r="B4" s="3" t="s">
        <v>0</v>
      </c>
      <c r="C4" s="4" t="s">
        <v>1</v>
      </c>
      <c r="D4" s="4" t="s">
        <v>5</v>
      </c>
      <c r="E4" s="4" t="s">
        <v>4</v>
      </c>
    </row>
    <row r="5" spans="2:5" ht="49" customHeight="1" x14ac:dyDescent="0.3">
      <c r="B5" s="29">
        <v>1</v>
      </c>
      <c r="C5" s="29" t="s">
        <v>2</v>
      </c>
      <c r="D5" s="28" t="s">
        <v>3</v>
      </c>
      <c r="E5" s="5" t="s">
        <v>6</v>
      </c>
    </row>
    <row r="6" spans="2:5" ht="46.5" x14ac:dyDescent="0.3">
      <c r="B6" s="29"/>
      <c r="C6" s="29"/>
      <c r="D6" s="28"/>
      <c r="E6" s="6" t="s">
        <v>7</v>
      </c>
    </row>
    <row r="7" spans="2:5" ht="46.5" x14ac:dyDescent="0.3">
      <c r="B7" s="29"/>
      <c r="C7" s="29"/>
      <c r="D7" s="28"/>
      <c r="E7" s="6" t="s">
        <v>8</v>
      </c>
    </row>
    <row r="8" spans="2:5" ht="46.5" x14ac:dyDescent="0.3">
      <c r="B8" s="29">
        <v>2</v>
      </c>
      <c r="C8" s="29" t="s">
        <v>9</v>
      </c>
      <c r="D8" s="30" t="s">
        <v>10</v>
      </c>
      <c r="E8" s="6" t="s">
        <v>11</v>
      </c>
    </row>
    <row r="9" spans="2:5" ht="46.5" x14ac:dyDescent="0.3">
      <c r="B9" s="29"/>
      <c r="C9" s="29"/>
      <c r="D9" s="30"/>
      <c r="E9" s="6" t="s">
        <v>12</v>
      </c>
    </row>
    <row r="10" spans="2:5" ht="46.5" x14ac:dyDescent="0.3">
      <c r="B10" s="29"/>
      <c r="C10" s="29"/>
      <c r="D10" s="30"/>
      <c r="E10" s="6" t="s">
        <v>13</v>
      </c>
    </row>
    <row r="11" spans="2:5" ht="46.5" x14ac:dyDescent="0.3">
      <c r="B11" s="29">
        <v>3</v>
      </c>
      <c r="C11" s="29" t="s">
        <v>14</v>
      </c>
      <c r="D11" s="30" t="s">
        <v>15</v>
      </c>
      <c r="E11" s="6" t="s">
        <v>16</v>
      </c>
    </row>
    <row r="12" spans="2:5" ht="46.5" x14ac:dyDescent="0.3">
      <c r="B12" s="29"/>
      <c r="C12" s="29"/>
      <c r="D12" s="30"/>
      <c r="E12" s="6" t="s">
        <v>17</v>
      </c>
    </row>
    <row r="13" spans="2:5" ht="46.5" x14ac:dyDescent="0.3">
      <c r="B13" s="29"/>
      <c r="C13" s="29"/>
      <c r="D13" s="30"/>
      <c r="E13" s="6" t="s">
        <v>18</v>
      </c>
    </row>
    <row r="14" spans="2:5" ht="46.5" x14ac:dyDescent="0.3">
      <c r="B14" s="29">
        <v>4</v>
      </c>
      <c r="C14" s="29" t="s">
        <v>19</v>
      </c>
      <c r="D14" s="28" t="s">
        <v>20</v>
      </c>
      <c r="E14" s="6" t="s">
        <v>21</v>
      </c>
    </row>
    <row r="15" spans="2:5" ht="46.5" x14ac:dyDescent="0.3">
      <c r="B15" s="29"/>
      <c r="C15" s="29"/>
      <c r="D15" s="28"/>
      <c r="E15" s="6" t="s">
        <v>22</v>
      </c>
    </row>
    <row r="16" spans="2:5" ht="46.5" x14ac:dyDescent="0.3">
      <c r="B16" s="29"/>
      <c r="C16" s="29"/>
      <c r="D16" s="28"/>
      <c r="E16" s="6" t="s">
        <v>23</v>
      </c>
    </row>
  </sheetData>
  <mergeCells count="12">
    <mergeCell ref="D11:D13"/>
    <mergeCell ref="C11:C13"/>
    <mergeCell ref="B11:B13"/>
    <mergeCell ref="D14:D16"/>
    <mergeCell ref="C14:C16"/>
    <mergeCell ref="B14:B16"/>
    <mergeCell ref="D5:D7"/>
    <mergeCell ref="C5:C7"/>
    <mergeCell ref="B5:B7"/>
    <mergeCell ref="D8:D10"/>
    <mergeCell ref="C8:C10"/>
    <mergeCell ref="B8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71ED-4D30-4A62-BB5F-0CC317850C0E}">
  <dimension ref="C3:F44"/>
  <sheetViews>
    <sheetView topLeftCell="C27" workbookViewId="0">
      <selection activeCell="F28" sqref="F28:F31"/>
    </sheetView>
  </sheetViews>
  <sheetFormatPr defaultRowHeight="14.5" x14ac:dyDescent="0.35"/>
  <cols>
    <col min="3" max="3" width="5.26953125" customWidth="1"/>
    <col min="4" max="4" width="11.36328125" customWidth="1"/>
    <col min="5" max="5" width="19.26953125" customWidth="1"/>
    <col min="6" max="6" width="73.90625" customWidth="1"/>
    <col min="7" max="7" width="51.7265625" customWidth="1"/>
  </cols>
  <sheetData>
    <row r="3" spans="3:6" x14ac:dyDescent="0.35">
      <c r="C3" s="13" t="s">
        <v>0</v>
      </c>
      <c r="D3" s="13" t="s">
        <v>24</v>
      </c>
      <c r="E3" s="13" t="s">
        <v>25</v>
      </c>
      <c r="F3" s="13" t="s">
        <v>26</v>
      </c>
    </row>
    <row r="4" spans="3:6" x14ac:dyDescent="0.35">
      <c r="C4" s="29">
        <v>1</v>
      </c>
      <c r="D4" s="29" t="s">
        <v>27</v>
      </c>
      <c r="E4" s="30" t="s">
        <v>28</v>
      </c>
      <c r="F4" s="28" t="s">
        <v>29</v>
      </c>
    </row>
    <row r="5" spans="3:6" x14ac:dyDescent="0.35">
      <c r="C5" s="29"/>
      <c r="D5" s="29"/>
      <c r="E5" s="30"/>
      <c r="F5" s="28"/>
    </row>
    <row r="6" spans="3:6" x14ac:dyDescent="0.35">
      <c r="C6" s="29"/>
      <c r="D6" s="29"/>
      <c r="E6" s="30"/>
      <c r="F6" s="28"/>
    </row>
    <row r="7" spans="3:6" ht="11.5" customHeight="1" x14ac:dyDescent="0.35">
      <c r="C7" s="29"/>
      <c r="D7" s="29"/>
      <c r="E7" s="30"/>
      <c r="F7" s="28"/>
    </row>
    <row r="8" spans="3:6" ht="22" customHeight="1" x14ac:dyDescent="0.35">
      <c r="C8" s="29">
        <v>2</v>
      </c>
      <c r="D8" s="29" t="s">
        <v>31</v>
      </c>
      <c r="E8" s="31" t="s">
        <v>32</v>
      </c>
      <c r="F8" s="28" t="s">
        <v>33</v>
      </c>
    </row>
    <row r="9" spans="3:6" ht="22" customHeight="1" x14ac:dyDescent="0.35">
      <c r="C9" s="29"/>
      <c r="D9" s="29"/>
      <c r="E9" s="31"/>
      <c r="F9" s="28"/>
    </row>
    <row r="10" spans="3:6" ht="22" customHeight="1" x14ac:dyDescent="0.35">
      <c r="C10" s="29"/>
      <c r="D10" s="29"/>
      <c r="E10" s="31"/>
      <c r="F10" s="28"/>
    </row>
    <row r="11" spans="3:6" ht="27.5" customHeight="1" x14ac:dyDescent="0.35">
      <c r="C11" s="29"/>
      <c r="D11" s="29"/>
      <c r="E11" s="31"/>
      <c r="F11" s="28"/>
    </row>
    <row r="12" spans="3:6" ht="18" customHeight="1" x14ac:dyDescent="0.35">
      <c r="C12" s="29">
        <v>3</v>
      </c>
      <c r="D12" s="29" t="s">
        <v>34</v>
      </c>
      <c r="E12" s="29" t="s">
        <v>32</v>
      </c>
      <c r="F12" s="28" t="s">
        <v>35</v>
      </c>
    </row>
    <row r="13" spans="3:6" ht="18" customHeight="1" x14ac:dyDescent="0.35">
      <c r="C13" s="29"/>
      <c r="D13" s="29"/>
      <c r="E13" s="29"/>
      <c r="F13" s="28"/>
    </row>
    <row r="14" spans="3:6" ht="18" customHeight="1" x14ac:dyDescent="0.35">
      <c r="C14" s="29"/>
      <c r="D14" s="29"/>
      <c r="E14" s="29"/>
      <c r="F14" s="28"/>
    </row>
    <row r="15" spans="3:6" ht="18" customHeight="1" x14ac:dyDescent="0.35">
      <c r="C15" s="29"/>
      <c r="D15" s="29"/>
      <c r="E15" s="29"/>
      <c r="F15" s="28"/>
    </row>
    <row r="16" spans="3:6" ht="18" customHeight="1" x14ac:dyDescent="0.35">
      <c r="C16" s="29"/>
      <c r="D16" s="29"/>
      <c r="E16" s="29"/>
      <c r="F16" s="28"/>
    </row>
    <row r="17" spans="3:6" x14ac:dyDescent="0.35">
      <c r="C17" s="35">
        <v>4</v>
      </c>
      <c r="D17" s="35" t="s">
        <v>36</v>
      </c>
      <c r="E17" s="35" t="s">
        <v>32</v>
      </c>
      <c r="F17" s="32" t="s">
        <v>37</v>
      </c>
    </row>
    <row r="18" spans="3:6" x14ac:dyDescent="0.35">
      <c r="C18" s="36"/>
      <c r="D18" s="36"/>
      <c r="E18" s="36"/>
      <c r="F18" s="33"/>
    </row>
    <row r="19" spans="3:6" x14ac:dyDescent="0.35">
      <c r="C19" s="36"/>
      <c r="D19" s="36"/>
      <c r="E19" s="36"/>
      <c r="F19" s="33"/>
    </row>
    <row r="20" spans="3:6" x14ac:dyDescent="0.35">
      <c r="C20" s="37"/>
      <c r="D20" s="37"/>
      <c r="E20" s="37"/>
      <c r="F20" s="34"/>
    </row>
    <row r="21" spans="3:6" x14ac:dyDescent="0.35">
      <c r="C21" s="35">
        <v>5</v>
      </c>
      <c r="D21" s="35" t="s">
        <v>38</v>
      </c>
      <c r="E21" s="35" t="s">
        <v>32</v>
      </c>
      <c r="F21" s="32" t="s">
        <v>39</v>
      </c>
    </row>
    <row r="22" spans="3:6" x14ac:dyDescent="0.35">
      <c r="C22" s="36"/>
      <c r="D22" s="36"/>
      <c r="E22" s="36"/>
      <c r="F22" s="33"/>
    </row>
    <row r="23" spans="3:6" x14ac:dyDescent="0.35">
      <c r="C23" s="36"/>
      <c r="D23" s="36"/>
      <c r="E23" s="36"/>
      <c r="F23" s="33"/>
    </row>
    <row r="24" spans="3:6" x14ac:dyDescent="0.35">
      <c r="C24" s="37"/>
      <c r="D24" s="37"/>
      <c r="E24" s="37"/>
      <c r="F24" s="34"/>
    </row>
    <row r="25" spans="3:6" x14ac:dyDescent="0.35">
      <c r="C25" s="35">
        <v>6</v>
      </c>
      <c r="D25" s="35" t="s">
        <v>42</v>
      </c>
      <c r="E25" s="35" t="s">
        <v>40</v>
      </c>
      <c r="F25" s="32" t="s">
        <v>41</v>
      </c>
    </row>
    <row r="26" spans="3:6" x14ac:dyDescent="0.35">
      <c r="C26" s="36"/>
      <c r="D26" s="36"/>
      <c r="E26" s="36"/>
      <c r="F26" s="33"/>
    </row>
    <row r="27" spans="3:6" x14ac:dyDescent="0.35">
      <c r="C27" s="37"/>
      <c r="D27" s="37"/>
      <c r="E27" s="37"/>
      <c r="F27" s="34"/>
    </row>
    <row r="28" spans="3:6" x14ac:dyDescent="0.35">
      <c r="C28" s="35">
        <v>7</v>
      </c>
      <c r="D28" s="35" t="s">
        <v>44</v>
      </c>
      <c r="E28" s="35" t="s">
        <v>40</v>
      </c>
      <c r="F28" s="32" t="s">
        <v>43</v>
      </c>
    </row>
    <row r="29" spans="3:6" x14ac:dyDescent="0.35">
      <c r="C29" s="36"/>
      <c r="D29" s="36"/>
      <c r="E29" s="36"/>
      <c r="F29" s="33"/>
    </row>
    <row r="30" spans="3:6" x14ac:dyDescent="0.35">
      <c r="C30" s="36"/>
      <c r="D30" s="36"/>
      <c r="E30" s="36"/>
      <c r="F30" s="33"/>
    </row>
    <row r="31" spans="3:6" x14ac:dyDescent="0.35">
      <c r="C31" s="37"/>
      <c r="D31" s="37"/>
      <c r="E31" s="37"/>
      <c r="F31" s="34"/>
    </row>
    <row r="32" spans="3:6" x14ac:dyDescent="0.35">
      <c r="C32" s="35">
        <v>8</v>
      </c>
      <c r="D32" s="35" t="s">
        <v>45</v>
      </c>
      <c r="E32" s="35" t="s">
        <v>40</v>
      </c>
      <c r="F32" s="32" t="s">
        <v>46</v>
      </c>
    </row>
    <row r="33" spans="3:6" x14ac:dyDescent="0.35">
      <c r="C33" s="36"/>
      <c r="D33" s="36"/>
      <c r="E33" s="36"/>
      <c r="F33" s="33"/>
    </row>
    <row r="34" spans="3:6" x14ac:dyDescent="0.35">
      <c r="C34" s="36"/>
      <c r="D34" s="36"/>
      <c r="E34" s="36"/>
      <c r="F34" s="33"/>
    </row>
    <row r="35" spans="3:6" x14ac:dyDescent="0.35">
      <c r="C35" s="37"/>
      <c r="D35" s="37"/>
      <c r="E35" s="37"/>
      <c r="F35" s="34"/>
    </row>
    <row r="36" spans="3:6" s="7" customFormat="1" x14ac:dyDescent="0.35">
      <c r="C36" s="41">
        <v>9</v>
      </c>
      <c r="D36" s="41" t="s">
        <v>47</v>
      </c>
      <c r="E36" s="41" t="s">
        <v>48</v>
      </c>
      <c r="F36" s="38" t="s">
        <v>49</v>
      </c>
    </row>
    <row r="37" spans="3:6" x14ac:dyDescent="0.35">
      <c r="C37" s="42"/>
      <c r="D37" s="42"/>
      <c r="E37" s="42"/>
      <c r="F37" s="39"/>
    </row>
    <row r="38" spans="3:6" x14ac:dyDescent="0.35">
      <c r="C38" s="42"/>
      <c r="D38" s="42"/>
      <c r="E38" s="42"/>
      <c r="F38" s="39"/>
    </row>
    <row r="39" spans="3:6" x14ac:dyDescent="0.35">
      <c r="C39" s="42"/>
      <c r="D39" s="42"/>
      <c r="E39" s="42"/>
      <c r="F39" s="39"/>
    </row>
    <row r="40" spans="3:6" x14ac:dyDescent="0.35">
      <c r="C40" s="43"/>
      <c r="D40" s="43"/>
      <c r="E40" s="43"/>
      <c r="F40" s="40"/>
    </row>
    <row r="41" spans="3:6" x14ac:dyDescent="0.35">
      <c r="C41" s="35">
        <v>10</v>
      </c>
      <c r="D41" s="35" t="s">
        <v>50</v>
      </c>
      <c r="E41" s="35" t="s">
        <v>48</v>
      </c>
      <c r="F41" s="38" t="s">
        <v>51</v>
      </c>
    </row>
    <row r="42" spans="3:6" x14ac:dyDescent="0.35">
      <c r="C42" s="36"/>
      <c r="D42" s="36"/>
      <c r="E42" s="36"/>
      <c r="F42" s="39"/>
    </row>
    <row r="43" spans="3:6" x14ac:dyDescent="0.35">
      <c r="C43" s="36"/>
      <c r="D43" s="36"/>
      <c r="E43" s="36"/>
      <c r="F43" s="39"/>
    </row>
    <row r="44" spans="3:6" x14ac:dyDescent="0.35">
      <c r="C44" s="37"/>
      <c r="D44" s="37"/>
      <c r="E44" s="37"/>
      <c r="F44" s="40"/>
    </row>
  </sheetData>
  <mergeCells count="40">
    <mergeCell ref="F36:F40"/>
    <mergeCell ref="E36:E40"/>
    <mergeCell ref="D36:D40"/>
    <mergeCell ref="C36:C40"/>
    <mergeCell ref="F41:F44"/>
    <mergeCell ref="E41:E44"/>
    <mergeCell ref="D41:D44"/>
    <mergeCell ref="C41:C44"/>
    <mergeCell ref="F28:F31"/>
    <mergeCell ref="E28:E31"/>
    <mergeCell ref="D28:D31"/>
    <mergeCell ref="C28:C31"/>
    <mergeCell ref="F32:F35"/>
    <mergeCell ref="E32:E35"/>
    <mergeCell ref="D32:D35"/>
    <mergeCell ref="C32:C35"/>
    <mergeCell ref="F21:F24"/>
    <mergeCell ref="E21:E24"/>
    <mergeCell ref="D21:D24"/>
    <mergeCell ref="C21:C24"/>
    <mergeCell ref="F25:F27"/>
    <mergeCell ref="E25:E27"/>
    <mergeCell ref="D25:D27"/>
    <mergeCell ref="C25:C27"/>
    <mergeCell ref="F12:F16"/>
    <mergeCell ref="E12:E16"/>
    <mergeCell ref="D12:D16"/>
    <mergeCell ref="C12:C16"/>
    <mergeCell ref="F17:F20"/>
    <mergeCell ref="E17:E20"/>
    <mergeCell ref="D17:D20"/>
    <mergeCell ref="C17:C20"/>
    <mergeCell ref="F4:F7"/>
    <mergeCell ref="E4:E7"/>
    <mergeCell ref="D4:D7"/>
    <mergeCell ref="C4:C7"/>
    <mergeCell ref="F8:F11"/>
    <mergeCell ref="E8:E11"/>
    <mergeCell ref="D8:D11"/>
    <mergeCell ref="C8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648E-0862-46BE-828B-C2BCE6C3418B}">
  <dimension ref="C3:G44"/>
  <sheetViews>
    <sheetView topLeftCell="A30" workbookViewId="0">
      <selection activeCell="F41" sqref="F41:F44"/>
    </sheetView>
  </sheetViews>
  <sheetFormatPr defaultRowHeight="14.5" x14ac:dyDescent="0.35"/>
  <cols>
    <col min="3" max="3" width="5.26953125" customWidth="1"/>
    <col min="4" max="4" width="11.36328125" customWidth="1"/>
    <col min="5" max="5" width="19.26953125" customWidth="1"/>
    <col min="6" max="6" width="73.90625" customWidth="1"/>
    <col min="7" max="7" width="51.7265625" customWidth="1"/>
  </cols>
  <sheetData>
    <row r="3" spans="3:7" x14ac:dyDescent="0.35">
      <c r="C3" s="13" t="s">
        <v>0</v>
      </c>
      <c r="D3" s="13" t="s">
        <v>24</v>
      </c>
      <c r="E3" s="13" t="s">
        <v>25</v>
      </c>
      <c r="F3" s="13" t="s">
        <v>26</v>
      </c>
      <c r="G3" s="12" t="s">
        <v>30</v>
      </c>
    </row>
    <row r="4" spans="3:7" ht="42.5" x14ac:dyDescent="0.35">
      <c r="C4" s="29">
        <v>1</v>
      </c>
      <c r="D4" s="29" t="s">
        <v>27</v>
      </c>
      <c r="E4" s="30" t="s">
        <v>28</v>
      </c>
      <c r="F4" s="28" t="s">
        <v>29</v>
      </c>
      <c r="G4" s="9" t="s">
        <v>52</v>
      </c>
    </row>
    <row r="5" spans="3:7" ht="42.5" x14ac:dyDescent="0.35">
      <c r="C5" s="29"/>
      <c r="D5" s="29"/>
      <c r="E5" s="30"/>
      <c r="F5" s="28"/>
      <c r="G5" s="10" t="s">
        <v>53</v>
      </c>
    </row>
    <row r="6" spans="3:7" ht="28.5" x14ac:dyDescent="0.35">
      <c r="C6" s="29"/>
      <c r="D6" s="29"/>
      <c r="E6" s="30"/>
      <c r="F6" s="28"/>
      <c r="G6" s="10" t="s">
        <v>54</v>
      </c>
    </row>
    <row r="7" spans="3:7" ht="28.5" x14ac:dyDescent="0.35">
      <c r="C7" s="29"/>
      <c r="D7" s="29"/>
      <c r="E7" s="30"/>
      <c r="F7" s="28"/>
      <c r="G7" s="10" t="s">
        <v>55</v>
      </c>
    </row>
    <row r="8" spans="3:7" ht="64.5" customHeight="1" x14ac:dyDescent="0.35">
      <c r="C8" s="29">
        <v>2</v>
      </c>
      <c r="D8" s="29" t="s">
        <v>31</v>
      </c>
      <c r="E8" s="31" t="s">
        <v>32</v>
      </c>
      <c r="F8" s="28" t="s">
        <v>33</v>
      </c>
      <c r="G8" s="11" t="s">
        <v>56</v>
      </c>
    </row>
    <row r="9" spans="3:7" ht="64.5" customHeight="1" x14ac:dyDescent="0.35">
      <c r="C9" s="29"/>
      <c r="D9" s="29"/>
      <c r="E9" s="31"/>
      <c r="F9" s="28"/>
      <c r="G9" s="11" t="s">
        <v>57</v>
      </c>
    </row>
    <row r="10" spans="3:7" ht="64.5" customHeight="1" x14ac:dyDescent="0.35">
      <c r="C10" s="29"/>
      <c r="D10" s="29"/>
      <c r="E10" s="31"/>
      <c r="F10" s="28"/>
      <c r="G10" s="11" t="s">
        <v>58</v>
      </c>
    </row>
    <row r="11" spans="3:7" ht="64.5" customHeight="1" x14ac:dyDescent="0.35">
      <c r="C11" s="29"/>
      <c r="D11" s="29"/>
      <c r="E11" s="31"/>
      <c r="F11" s="28"/>
      <c r="G11" s="11" t="s">
        <v>59</v>
      </c>
    </row>
    <row r="12" spans="3:7" ht="46.5" customHeight="1" x14ac:dyDescent="0.35">
      <c r="C12" s="29">
        <v>3</v>
      </c>
      <c r="D12" s="29" t="s">
        <v>34</v>
      </c>
      <c r="E12" s="29" t="s">
        <v>32</v>
      </c>
      <c r="F12" s="28" t="s">
        <v>35</v>
      </c>
      <c r="G12" s="11" t="s">
        <v>60</v>
      </c>
    </row>
    <row r="13" spans="3:7" ht="42.5" x14ac:dyDescent="0.35">
      <c r="C13" s="29"/>
      <c r="D13" s="29"/>
      <c r="E13" s="29"/>
      <c r="F13" s="28"/>
      <c r="G13" s="11" t="s">
        <v>61</v>
      </c>
    </row>
    <row r="14" spans="3:7" ht="42.5" x14ac:dyDescent="0.35">
      <c r="C14" s="29"/>
      <c r="D14" s="29"/>
      <c r="E14" s="29"/>
      <c r="F14" s="28"/>
      <c r="G14" s="11" t="s">
        <v>62</v>
      </c>
    </row>
    <row r="15" spans="3:7" ht="42.5" x14ac:dyDescent="0.35">
      <c r="C15" s="29"/>
      <c r="D15" s="29"/>
      <c r="E15" s="29"/>
      <c r="F15" s="28"/>
      <c r="G15" s="11" t="s">
        <v>63</v>
      </c>
    </row>
    <row r="16" spans="3:7" ht="42.5" x14ac:dyDescent="0.35">
      <c r="C16" s="29"/>
      <c r="D16" s="29"/>
      <c r="E16" s="29"/>
      <c r="F16" s="28"/>
      <c r="G16" s="11" t="s">
        <v>64</v>
      </c>
    </row>
    <row r="17" spans="3:7" ht="56.5" x14ac:dyDescent="0.35">
      <c r="C17" s="35">
        <v>4</v>
      </c>
      <c r="D17" s="35" t="s">
        <v>36</v>
      </c>
      <c r="E17" s="35" t="s">
        <v>32</v>
      </c>
      <c r="F17" s="32" t="s">
        <v>37</v>
      </c>
      <c r="G17" s="11" t="s">
        <v>65</v>
      </c>
    </row>
    <row r="18" spans="3:7" ht="42.5" x14ac:dyDescent="0.35">
      <c r="C18" s="36"/>
      <c r="D18" s="36"/>
      <c r="E18" s="36"/>
      <c r="F18" s="33"/>
      <c r="G18" s="11" t="s">
        <v>66</v>
      </c>
    </row>
    <row r="19" spans="3:7" ht="42.5" x14ac:dyDescent="0.35">
      <c r="C19" s="36"/>
      <c r="D19" s="36"/>
      <c r="E19" s="36"/>
      <c r="F19" s="33"/>
      <c r="G19" s="11" t="s">
        <v>67</v>
      </c>
    </row>
    <row r="20" spans="3:7" ht="42.5" x14ac:dyDescent="0.35">
      <c r="C20" s="37"/>
      <c r="D20" s="37"/>
      <c r="E20" s="37"/>
      <c r="F20" s="34"/>
      <c r="G20" s="11" t="s">
        <v>68</v>
      </c>
    </row>
    <row r="21" spans="3:7" ht="42.5" x14ac:dyDescent="0.35">
      <c r="C21" s="35">
        <v>5</v>
      </c>
      <c r="D21" s="35" t="s">
        <v>38</v>
      </c>
      <c r="E21" s="35" t="s">
        <v>32</v>
      </c>
      <c r="F21" s="32" t="s">
        <v>39</v>
      </c>
      <c r="G21" s="11" t="s">
        <v>69</v>
      </c>
    </row>
    <row r="22" spans="3:7" ht="56.5" x14ac:dyDescent="0.35">
      <c r="C22" s="36"/>
      <c r="D22" s="36"/>
      <c r="E22" s="36"/>
      <c r="F22" s="33"/>
      <c r="G22" s="11" t="s">
        <v>70</v>
      </c>
    </row>
    <row r="23" spans="3:7" ht="42.5" x14ac:dyDescent="0.35">
      <c r="C23" s="36"/>
      <c r="D23" s="36"/>
      <c r="E23" s="36"/>
      <c r="F23" s="33"/>
      <c r="G23" s="11" t="s">
        <v>71</v>
      </c>
    </row>
    <row r="24" spans="3:7" ht="42.5" x14ac:dyDescent="0.35">
      <c r="C24" s="37"/>
      <c r="D24" s="37"/>
      <c r="E24" s="37"/>
      <c r="F24" s="34"/>
      <c r="G24" s="11" t="s">
        <v>72</v>
      </c>
    </row>
    <row r="25" spans="3:7" ht="56.5" x14ac:dyDescent="0.35">
      <c r="C25" s="35">
        <v>6</v>
      </c>
      <c r="D25" s="35" t="s">
        <v>42</v>
      </c>
      <c r="E25" s="35" t="s">
        <v>40</v>
      </c>
      <c r="F25" s="32" t="s">
        <v>41</v>
      </c>
      <c r="G25" s="11" t="s">
        <v>73</v>
      </c>
    </row>
    <row r="26" spans="3:7" ht="42.5" x14ac:dyDescent="0.35">
      <c r="C26" s="36"/>
      <c r="D26" s="36"/>
      <c r="E26" s="36"/>
      <c r="F26" s="33"/>
      <c r="G26" s="11" t="s">
        <v>74</v>
      </c>
    </row>
    <row r="27" spans="3:7" ht="42.5" x14ac:dyDescent="0.35">
      <c r="C27" s="37"/>
      <c r="D27" s="37"/>
      <c r="E27" s="37"/>
      <c r="F27" s="34"/>
      <c r="G27" s="11" t="s">
        <v>75</v>
      </c>
    </row>
    <row r="28" spans="3:7" ht="42.5" x14ac:dyDescent="0.35">
      <c r="C28" s="35">
        <v>7</v>
      </c>
      <c r="D28" s="35" t="s">
        <v>44</v>
      </c>
      <c r="E28" s="35" t="s">
        <v>40</v>
      </c>
      <c r="F28" s="32" t="s">
        <v>43</v>
      </c>
      <c r="G28" s="11" t="s">
        <v>76</v>
      </c>
    </row>
    <row r="29" spans="3:7" ht="42.5" x14ac:dyDescent="0.35">
      <c r="C29" s="36"/>
      <c r="D29" s="36"/>
      <c r="E29" s="36"/>
      <c r="F29" s="33"/>
      <c r="G29" s="11" t="s">
        <v>77</v>
      </c>
    </row>
    <row r="30" spans="3:7" ht="42.5" x14ac:dyDescent="0.35">
      <c r="C30" s="36"/>
      <c r="D30" s="36"/>
      <c r="E30" s="36"/>
      <c r="F30" s="33"/>
      <c r="G30" s="11" t="s">
        <v>78</v>
      </c>
    </row>
    <row r="31" spans="3:7" ht="28.5" x14ac:dyDescent="0.35">
      <c r="C31" s="37"/>
      <c r="D31" s="37"/>
      <c r="E31" s="37"/>
      <c r="F31" s="34"/>
      <c r="G31" s="11" t="s">
        <v>79</v>
      </c>
    </row>
    <row r="32" spans="3:7" ht="42.5" x14ac:dyDescent="0.35">
      <c r="C32" s="35">
        <v>8</v>
      </c>
      <c r="D32" s="35" t="s">
        <v>45</v>
      </c>
      <c r="E32" s="35" t="s">
        <v>40</v>
      </c>
      <c r="F32" s="32" t="s">
        <v>46</v>
      </c>
      <c r="G32" s="11" t="s">
        <v>80</v>
      </c>
    </row>
    <row r="33" spans="3:7" ht="42.5" x14ac:dyDescent="0.35">
      <c r="C33" s="36"/>
      <c r="D33" s="36"/>
      <c r="E33" s="36"/>
      <c r="F33" s="33"/>
      <c r="G33" s="11" t="s">
        <v>81</v>
      </c>
    </row>
    <row r="34" spans="3:7" ht="28.5" x14ac:dyDescent="0.35">
      <c r="C34" s="36"/>
      <c r="D34" s="36"/>
      <c r="E34" s="36"/>
      <c r="F34" s="33"/>
      <c r="G34" s="11" t="s">
        <v>82</v>
      </c>
    </row>
    <row r="35" spans="3:7" ht="42.5" x14ac:dyDescent="0.35">
      <c r="C35" s="37"/>
      <c r="D35" s="37"/>
      <c r="E35" s="37"/>
      <c r="F35" s="34"/>
      <c r="G35" s="11" t="s">
        <v>83</v>
      </c>
    </row>
    <row r="36" spans="3:7" s="7" customFormat="1" ht="56.5" x14ac:dyDescent="0.35">
      <c r="C36" s="41">
        <v>9</v>
      </c>
      <c r="D36" s="41" t="s">
        <v>47</v>
      </c>
      <c r="E36" s="41" t="s">
        <v>48</v>
      </c>
      <c r="F36" s="38" t="s">
        <v>49</v>
      </c>
      <c r="G36" s="11" t="s">
        <v>84</v>
      </c>
    </row>
    <row r="37" spans="3:7" ht="42.5" x14ac:dyDescent="0.35">
      <c r="C37" s="42"/>
      <c r="D37" s="42"/>
      <c r="E37" s="42"/>
      <c r="F37" s="39"/>
      <c r="G37" s="11" t="s">
        <v>85</v>
      </c>
    </row>
    <row r="38" spans="3:7" ht="42.5" x14ac:dyDescent="0.35">
      <c r="C38" s="42"/>
      <c r="D38" s="42"/>
      <c r="E38" s="42"/>
      <c r="F38" s="39"/>
      <c r="G38" s="11" t="s">
        <v>86</v>
      </c>
    </row>
    <row r="39" spans="3:7" ht="42.5" x14ac:dyDescent="0.35">
      <c r="C39" s="42"/>
      <c r="D39" s="42"/>
      <c r="E39" s="42"/>
      <c r="F39" s="39"/>
      <c r="G39" s="11" t="s">
        <v>87</v>
      </c>
    </row>
    <row r="40" spans="3:7" ht="42.5" x14ac:dyDescent="0.35">
      <c r="C40" s="43"/>
      <c r="D40" s="43"/>
      <c r="E40" s="43"/>
      <c r="F40" s="40"/>
      <c r="G40" s="11" t="s">
        <v>88</v>
      </c>
    </row>
    <row r="41" spans="3:7" ht="56.5" x14ac:dyDescent="0.35">
      <c r="C41" s="35">
        <v>10</v>
      </c>
      <c r="D41" s="35" t="s">
        <v>50</v>
      </c>
      <c r="E41" s="35" t="s">
        <v>48</v>
      </c>
      <c r="F41" s="38" t="s">
        <v>51</v>
      </c>
      <c r="G41" s="11" t="s">
        <v>89</v>
      </c>
    </row>
    <row r="42" spans="3:7" ht="42.5" x14ac:dyDescent="0.35">
      <c r="C42" s="36"/>
      <c r="D42" s="36"/>
      <c r="E42" s="36"/>
      <c r="F42" s="39"/>
      <c r="G42" s="11" t="s">
        <v>90</v>
      </c>
    </row>
    <row r="43" spans="3:7" ht="56.5" x14ac:dyDescent="0.35">
      <c r="C43" s="36"/>
      <c r="D43" s="36"/>
      <c r="E43" s="36"/>
      <c r="F43" s="39"/>
      <c r="G43" s="11" t="s">
        <v>91</v>
      </c>
    </row>
    <row r="44" spans="3:7" ht="42.5" x14ac:dyDescent="0.35">
      <c r="C44" s="37"/>
      <c r="D44" s="37"/>
      <c r="E44" s="37"/>
      <c r="F44" s="40"/>
      <c r="G44" s="11" t="s">
        <v>92</v>
      </c>
    </row>
  </sheetData>
  <mergeCells count="40">
    <mergeCell ref="C36:C40"/>
    <mergeCell ref="D36:D40"/>
    <mergeCell ref="E36:E40"/>
    <mergeCell ref="F36:F40"/>
    <mergeCell ref="C41:C44"/>
    <mergeCell ref="D41:D44"/>
    <mergeCell ref="E41:E44"/>
    <mergeCell ref="F41:F44"/>
    <mergeCell ref="C28:C31"/>
    <mergeCell ref="D28:D31"/>
    <mergeCell ref="E28:E31"/>
    <mergeCell ref="F28:F31"/>
    <mergeCell ref="C32:C35"/>
    <mergeCell ref="D32:D35"/>
    <mergeCell ref="E32:E35"/>
    <mergeCell ref="F32:F35"/>
    <mergeCell ref="C21:C24"/>
    <mergeCell ref="D21:D24"/>
    <mergeCell ref="E21:E24"/>
    <mergeCell ref="F21:F24"/>
    <mergeCell ref="C25:C27"/>
    <mergeCell ref="D25:D27"/>
    <mergeCell ref="E25:E27"/>
    <mergeCell ref="F25:F27"/>
    <mergeCell ref="C12:C16"/>
    <mergeCell ref="D12:D16"/>
    <mergeCell ref="E12:E16"/>
    <mergeCell ref="F12:F16"/>
    <mergeCell ref="C17:C20"/>
    <mergeCell ref="D17:D20"/>
    <mergeCell ref="E17:E20"/>
    <mergeCell ref="F17:F20"/>
    <mergeCell ref="C4:C7"/>
    <mergeCell ref="D4:D7"/>
    <mergeCell ref="E4:E7"/>
    <mergeCell ref="F4:F7"/>
    <mergeCell ref="C8:C11"/>
    <mergeCell ref="D8:D11"/>
    <mergeCell ref="E8:E11"/>
    <mergeCell ref="F8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CC18-E751-4B37-911C-310FE13F40B8}">
  <dimension ref="C4:Q82"/>
  <sheetViews>
    <sheetView topLeftCell="A61" zoomScale="71" zoomScaleNormal="160" workbookViewId="0">
      <selection activeCell="H73" sqref="H73"/>
    </sheetView>
  </sheetViews>
  <sheetFormatPr defaultRowHeight="14.5" x14ac:dyDescent="0.35"/>
  <cols>
    <col min="3" max="3" width="5" customWidth="1"/>
    <col min="4" max="4" width="36.08984375" customWidth="1"/>
    <col min="5" max="5" width="18" customWidth="1"/>
    <col min="6" max="6" width="10" customWidth="1"/>
  </cols>
  <sheetData>
    <row r="4" spans="3:16" x14ac:dyDescent="0.35">
      <c r="C4" s="45" t="s">
        <v>0</v>
      </c>
      <c r="D4" s="45" t="s">
        <v>93</v>
      </c>
      <c r="E4" s="45" t="s">
        <v>94</v>
      </c>
      <c r="F4" s="45" t="s">
        <v>95</v>
      </c>
      <c r="G4" s="44" t="s">
        <v>26</v>
      </c>
      <c r="H4" s="44"/>
      <c r="I4" s="44"/>
      <c r="J4" s="44"/>
      <c r="K4" s="44"/>
      <c r="L4" s="44"/>
      <c r="M4" s="44"/>
      <c r="N4" s="44"/>
      <c r="O4" s="44"/>
      <c r="P4" s="44"/>
    </row>
    <row r="5" spans="3:16" x14ac:dyDescent="0.35">
      <c r="C5" s="45"/>
      <c r="D5" s="45"/>
      <c r="E5" s="45"/>
      <c r="F5" s="45"/>
      <c r="G5" s="16" t="s">
        <v>27</v>
      </c>
      <c r="H5" s="16" t="s">
        <v>31</v>
      </c>
      <c r="I5" s="16" t="s">
        <v>34</v>
      </c>
      <c r="J5" s="16" t="s">
        <v>36</v>
      </c>
      <c r="K5" s="16" t="s">
        <v>38</v>
      </c>
      <c r="L5" s="16" t="s">
        <v>42</v>
      </c>
      <c r="M5" s="16" t="s">
        <v>44</v>
      </c>
      <c r="N5" s="16" t="s">
        <v>45</v>
      </c>
      <c r="O5" s="16" t="s">
        <v>47</v>
      </c>
      <c r="P5" s="16" t="s">
        <v>50</v>
      </c>
    </row>
    <row r="6" spans="3:16" x14ac:dyDescent="0.35">
      <c r="C6" s="44" t="s">
        <v>96</v>
      </c>
      <c r="D6" s="44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3:16" x14ac:dyDescent="0.35">
      <c r="C7" s="16">
        <v>1</v>
      </c>
      <c r="D7" s="17" t="s">
        <v>97</v>
      </c>
      <c r="E7" s="18" t="s">
        <v>105</v>
      </c>
      <c r="F7" s="18">
        <v>2</v>
      </c>
      <c r="G7" s="48">
        <v>0</v>
      </c>
      <c r="H7" s="48">
        <f>$B$3*'[1]CPMK &amp; Bobot &amp; SKS'!W8*'[1]Matriks Kurikulum (pts)'!H7</f>
        <v>0</v>
      </c>
      <c r="I7" s="48">
        <f>$B$3*'[1]CPMK &amp; Bobot &amp; SKS'!X8*'[1]Matriks Kurikulum (pts)'!I7</f>
        <v>0</v>
      </c>
      <c r="J7" s="48">
        <f>$B$3*'[1]CPMK &amp; Bobot &amp; SKS'!Y8*'[1]Matriks Kurikulum (pts)'!J7</f>
        <v>0</v>
      </c>
      <c r="K7" s="48">
        <f>$B$3*'[1]CPMK &amp; Bobot &amp; SKS'!Z8*'[1]Matriks Kurikulum (pts)'!K7</f>
        <v>0</v>
      </c>
      <c r="L7" s="48">
        <f>$B$3*'[1]CPMK &amp; Bobot &amp; SKS'!AA8*'[1]Matriks Kurikulum (pts)'!L7</f>
        <v>0</v>
      </c>
      <c r="M7" s="48">
        <f>$B$3*'[1]CPMK &amp; Bobot &amp; SKS'!AB8*'[1]Matriks Kurikulum (pts)'!M7</f>
        <v>0</v>
      </c>
      <c r="N7" s="48">
        <v>33.333333333333336</v>
      </c>
      <c r="O7" s="48">
        <v>33.333333333333336</v>
      </c>
      <c r="P7" s="48">
        <v>33.333333333333336</v>
      </c>
    </row>
    <row r="8" spans="3:16" x14ac:dyDescent="0.35">
      <c r="C8" s="16">
        <v>2</v>
      </c>
      <c r="D8" s="17" t="s">
        <v>98</v>
      </c>
      <c r="E8" s="18" t="s">
        <v>106</v>
      </c>
      <c r="F8" s="18">
        <v>2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50</v>
      </c>
      <c r="O8" s="48">
        <v>50</v>
      </c>
      <c r="P8" s="48">
        <v>0</v>
      </c>
    </row>
    <row r="9" spans="3:16" x14ac:dyDescent="0.35">
      <c r="C9" s="16">
        <v>3</v>
      </c>
      <c r="D9" s="17" t="s">
        <v>99</v>
      </c>
      <c r="E9" s="18" t="s">
        <v>107</v>
      </c>
      <c r="F9" s="18">
        <v>3</v>
      </c>
      <c r="G9" s="48">
        <v>50</v>
      </c>
      <c r="H9" s="48">
        <v>0</v>
      </c>
      <c r="I9" s="48">
        <v>0</v>
      </c>
      <c r="J9" s="48">
        <v>50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8">
        <v>0</v>
      </c>
    </row>
    <row r="10" spans="3:16" x14ac:dyDescent="0.35">
      <c r="C10" s="16">
        <v>4</v>
      </c>
      <c r="D10" s="17" t="s">
        <v>100</v>
      </c>
      <c r="E10" s="18" t="s">
        <v>108</v>
      </c>
      <c r="F10" s="18">
        <v>2</v>
      </c>
      <c r="G10" s="48">
        <v>0</v>
      </c>
      <c r="H10" s="48">
        <v>0</v>
      </c>
      <c r="I10" s="48">
        <v>0</v>
      </c>
      <c r="J10" s="48">
        <v>0</v>
      </c>
      <c r="K10" s="48">
        <v>0</v>
      </c>
      <c r="L10" s="48">
        <v>100</v>
      </c>
      <c r="M10" s="48">
        <v>0</v>
      </c>
      <c r="N10" s="48">
        <v>0</v>
      </c>
      <c r="O10" s="48">
        <v>0</v>
      </c>
      <c r="P10" s="48">
        <v>0</v>
      </c>
    </row>
    <row r="11" spans="3:16" x14ac:dyDescent="0.35">
      <c r="C11" s="16">
        <v>5</v>
      </c>
      <c r="D11" s="17" t="s">
        <v>101</v>
      </c>
      <c r="E11" s="18" t="s">
        <v>109</v>
      </c>
      <c r="F11" s="18">
        <v>2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8">
        <v>50</v>
      </c>
      <c r="M11" s="48">
        <v>0</v>
      </c>
      <c r="N11" s="48">
        <v>0</v>
      </c>
      <c r="O11" s="48">
        <v>0</v>
      </c>
      <c r="P11" s="48">
        <v>50</v>
      </c>
    </row>
    <row r="12" spans="3:16" x14ac:dyDescent="0.35">
      <c r="C12" s="16">
        <v>6</v>
      </c>
      <c r="D12" s="17" t="s">
        <v>102</v>
      </c>
      <c r="E12" s="18" t="s">
        <v>110</v>
      </c>
      <c r="F12" s="18">
        <v>2</v>
      </c>
      <c r="G12" s="48">
        <v>50</v>
      </c>
      <c r="H12" s="48">
        <v>0</v>
      </c>
      <c r="I12" s="48">
        <v>0</v>
      </c>
      <c r="J12" s="48">
        <v>0</v>
      </c>
      <c r="K12" s="48">
        <v>50</v>
      </c>
      <c r="L12" s="48">
        <v>0</v>
      </c>
      <c r="M12" s="48">
        <v>0</v>
      </c>
      <c r="N12" s="48">
        <v>0</v>
      </c>
      <c r="O12" s="48">
        <v>0</v>
      </c>
      <c r="P12" s="48">
        <v>0</v>
      </c>
    </row>
    <row r="13" spans="3:16" x14ac:dyDescent="0.35">
      <c r="C13" s="16">
        <v>7</v>
      </c>
      <c r="D13" s="17" t="s">
        <v>103</v>
      </c>
      <c r="E13" s="18" t="s">
        <v>111</v>
      </c>
      <c r="F13" s="18">
        <v>3</v>
      </c>
      <c r="G13" s="48">
        <v>50</v>
      </c>
      <c r="H13" s="48">
        <v>0</v>
      </c>
      <c r="I13" s="48">
        <v>0</v>
      </c>
      <c r="J13" s="48">
        <v>50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</row>
    <row r="14" spans="3:16" x14ac:dyDescent="0.35">
      <c r="C14" s="16">
        <v>8</v>
      </c>
      <c r="D14" s="17" t="s">
        <v>104</v>
      </c>
      <c r="E14" s="18" t="s">
        <v>112</v>
      </c>
      <c r="F14" s="18">
        <v>2</v>
      </c>
      <c r="G14" s="48">
        <v>0</v>
      </c>
      <c r="H14" s="48">
        <v>50</v>
      </c>
      <c r="I14" s="48">
        <v>0</v>
      </c>
      <c r="J14" s="48">
        <v>0</v>
      </c>
      <c r="K14" s="48">
        <v>50</v>
      </c>
      <c r="L14" s="48">
        <v>0</v>
      </c>
      <c r="M14" s="48">
        <v>0</v>
      </c>
      <c r="N14" s="48">
        <v>0</v>
      </c>
      <c r="O14" s="48">
        <v>0</v>
      </c>
      <c r="P14" s="48">
        <v>0</v>
      </c>
    </row>
    <row r="15" spans="3:16" x14ac:dyDescent="0.35">
      <c r="C15" s="44" t="s">
        <v>113</v>
      </c>
      <c r="D15" s="44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3:16" x14ac:dyDescent="0.35">
      <c r="C16" s="18">
        <v>1</v>
      </c>
      <c r="D16" s="19" t="s">
        <v>114</v>
      </c>
      <c r="E16" s="18" t="s">
        <v>115</v>
      </c>
      <c r="F16" s="18">
        <v>2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</v>
      </c>
      <c r="N16" s="48">
        <v>50</v>
      </c>
      <c r="O16" s="48">
        <v>0</v>
      </c>
      <c r="P16" s="48">
        <v>50</v>
      </c>
    </row>
    <row r="17" spans="3:16" x14ac:dyDescent="0.35">
      <c r="C17" s="18">
        <v>2</v>
      </c>
      <c r="D17" s="19" t="s">
        <v>116</v>
      </c>
      <c r="E17" s="18" t="s">
        <v>117</v>
      </c>
      <c r="F17" s="18">
        <v>2</v>
      </c>
      <c r="G17" s="48">
        <v>50</v>
      </c>
      <c r="H17" s="48">
        <v>0</v>
      </c>
      <c r="I17" s="48">
        <v>0</v>
      </c>
      <c r="J17" s="48">
        <v>50</v>
      </c>
      <c r="K17" s="48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</row>
    <row r="18" spans="3:16" x14ac:dyDescent="0.35">
      <c r="C18" s="18">
        <v>3</v>
      </c>
      <c r="D18" s="19" t="s">
        <v>118</v>
      </c>
      <c r="E18" s="18" t="s">
        <v>119</v>
      </c>
      <c r="F18" s="18">
        <v>3</v>
      </c>
      <c r="G18" s="48">
        <v>50</v>
      </c>
      <c r="H18" s="48">
        <v>0</v>
      </c>
      <c r="I18" s="48">
        <v>0</v>
      </c>
      <c r="J18" s="48">
        <v>50</v>
      </c>
      <c r="K18" s="48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</row>
    <row r="19" spans="3:16" x14ac:dyDescent="0.35">
      <c r="C19" s="18">
        <v>4</v>
      </c>
      <c r="D19" s="19" t="s">
        <v>120</v>
      </c>
      <c r="E19" s="18" t="s">
        <v>121</v>
      </c>
      <c r="F19" s="18">
        <v>3</v>
      </c>
      <c r="G19" s="48">
        <v>50</v>
      </c>
      <c r="H19" s="48">
        <v>0</v>
      </c>
      <c r="I19" s="48">
        <v>0</v>
      </c>
      <c r="J19" s="48">
        <v>50</v>
      </c>
      <c r="K19" s="48">
        <v>0</v>
      </c>
      <c r="L19" s="48">
        <v>0</v>
      </c>
      <c r="M19" s="48">
        <v>0</v>
      </c>
      <c r="N19" s="48">
        <v>0</v>
      </c>
      <c r="O19" s="48">
        <v>0</v>
      </c>
      <c r="P19" s="48">
        <v>0</v>
      </c>
    </row>
    <row r="20" spans="3:16" x14ac:dyDescent="0.35">
      <c r="C20" s="18">
        <v>5</v>
      </c>
      <c r="D20" s="19" t="s">
        <v>122</v>
      </c>
      <c r="E20" s="18" t="s">
        <v>123</v>
      </c>
      <c r="F20" s="18">
        <v>2</v>
      </c>
      <c r="G20" s="48">
        <v>0</v>
      </c>
      <c r="H20" s="48">
        <v>50</v>
      </c>
      <c r="I20" s="48">
        <v>0</v>
      </c>
      <c r="J20" s="48">
        <v>0</v>
      </c>
      <c r="K20" s="48">
        <v>50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</row>
    <row r="21" spans="3:16" x14ac:dyDescent="0.35">
      <c r="C21" s="18">
        <v>6</v>
      </c>
      <c r="D21" s="19" t="s">
        <v>124</v>
      </c>
      <c r="E21" s="18" t="s">
        <v>125</v>
      </c>
      <c r="F21" s="18">
        <v>2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100</v>
      </c>
      <c r="O21" s="48">
        <v>0</v>
      </c>
      <c r="P21" s="48">
        <v>0</v>
      </c>
    </row>
    <row r="22" spans="3:16" x14ac:dyDescent="0.35">
      <c r="C22" s="18">
        <v>7</v>
      </c>
      <c r="D22" s="19" t="s">
        <v>126</v>
      </c>
      <c r="E22" s="18" t="s">
        <v>127</v>
      </c>
      <c r="F22" s="18">
        <v>2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50</v>
      </c>
      <c r="M22" s="48">
        <v>0</v>
      </c>
      <c r="N22" s="48">
        <v>0</v>
      </c>
      <c r="O22" s="48">
        <v>0</v>
      </c>
      <c r="P22" s="48">
        <v>50</v>
      </c>
    </row>
    <row r="23" spans="3:16" x14ac:dyDescent="0.35">
      <c r="C23" s="18">
        <v>8</v>
      </c>
      <c r="D23" s="19" t="s">
        <v>128</v>
      </c>
      <c r="E23" s="18" t="s">
        <v>129</v>
      </c>
      <c r="F23" s="18">
        <v>2</v>
      </c>
      <c r="G23" s="48">
        <v>0</v>
      </c>
      <c r="H23" s="48">
        <v>50</v>
      </c>
      <c r="I23" s="48">
        <v>0</v>
      </c>
      <c r="J23" s="48">
        <v>0</v>
      </c>
      <c r="K23" s="48">
        <v>50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</row>
    <row r="24" spans="3:16" x14ac:dyDescent="0.35">
      <c r="C24" s="18">
        <v>9</v>
      </c>
      <c r="D24" s="19" t="s">
        <v>130</v>
      </c>
      <c r="E24" s="18" t="s">
        <v>131</v>
      </c>
      <c r="F24" s="18">
        <v>2</v>
      </c>
      <c r="G24" s="48">
        <v>25</v>
      </c>
      <c r="H24" s="48">
        <v>25</v>
      </c>
      <c r="I24" s="48">
        <v>25</v>
      </c>
      <c r="J24" s="48">
        <v>0</v>
      </c>
      <c r="K24" s="48">
        <v>25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</row>
    <row r="25" spans="3:16" x14ac:dyDescent="0.35">
      <c r="C25" s="44" t="s">
        <v>132</v>
      </c>
      <c r="D25" s="44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3:16" x14ac:dyDescent="0.35">
      <c r="C26" s="18">
        <v>1</v>
      </c>
      <c r="D26" s="17" t="s">
        <v>133</v>
      </c>
      <c r="E26" s="18" t="s">
        <v>134</v>
      </c>
      <c r="F26" s="18">
        <v>2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50</v>
      </c>
      <c r="O26" s="48">
        <v>0</v>
      </c>
      <c r="P26" s="48">
        <v>50</v>
      </c>
    </row>
    <row r="27" spans="3:16" x14ac:dyDescent="0.35">
      <c r="C27" s="18">
        <v>2</v>
      </c>
      <c r="D27" s="17" t="s">
        <v>135</v>
      </c>
      <c r="E27" s="18" t="s">
        <v>107</v>
      </c>
      <c r="F27" s="18">
        <v>2</v>
      </c>
      <c r="G27" s="48">
        <v>50</v>
      </c>
      <c r="H27" s="48">
        <v>0</v>
      </c>
      <c r="I27" s="48">
        <v>0</v>
      </c>
      <c r="J27" s="48">
        <v>50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</row>
    <row r="28" spans="3:16" x14ac:dyDescent="0.35">
      <c r="C28" s="18">
        <v>3</v>
      </c>
      <c r="D28" s="17" t="s">
        <v>136</v>
      </c>
      <c r="E28" s="18" t="s">
        <v>119</v>
      </c>
      <c r="F28" s="18">
        <v>3</v>
      </c>
      <c r="G28" s="48">
        <v>50</v>
      </c>
      <c r="H28" s="48">
        <v>0</v>
      </c>
      <c r="I28" s="48">
        <v>0</v>
      </c>
      <c r="J28" s="48">
        <v>50</v>
      </c>
      <c r="K28" s="48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</row>
    <row r="29" spans="3:16" x14ac:dyDescent="0.35">
      <c r="C29" s="18">
        <v>4</v>
      </c>
      <c r="D29" s="17" t="s">
        <v>137</v>
      </c>
      <c r="E29" s="18" t="s">
        <v>138</v>
      </c>
      <c r="F29" s="18">
        <v>2</v>
      </c>
      <c r="G29" s="48">
        <v>0</v>
      </c>
      <c r="H29" s="48">
        <v>0</v>
      </c>
      <c r="I29" s="48">
        <v>0</v>
      </c>
      <c r="J29" s="48">
        <v>50</v>
      </c>
      <c r="K29" s="48">
        <v>0</v>
      </c>
      <c r="L29" s="48">
        <v>0</v>
      </c>
      <c r="M29" s="48">
        <v>50</v>
      </c>
      <c r="N29" s="48">
        <v>0</v>
      </c>
      <c r="O29" s="48">
        <v>0</v>
      </c>
      <c r="P29" s="48">
        <v>0</v>
      </c>
    </row>
    <row r="30" spans="3:16" x14ac:dyDescent="0.35">
      <c r="C30" s="18">
        <v>5</v>
      </c>
      <c r="D30" s="17" t="s">
        <v>139</v>
      </c>
      <c r="E30" s="18" t="s">
        <v>121</v>
      </c>
      <c r="F30" s="18">
        <v>2</v>
      </c>
      <c r="G30" s="48">
        <v>0</v>
      </c>
      <c r="H30" s="48">
        <v>50</v>
      </c>
      <c r="I30" s="48">
        <v>0</v>
      </c>
      <c r="J30" s="48">
        <v>0</v>
      </c>
      <c r="K30" s="48">
        <v>50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</row>
    <row r="31" spans="3:16" x14ac:dyDescent="0.35">
      <c r="C31" s="18">
        <v>6</v>
      </c>
      <c r="D31" s="17" t="s">
        <v>140</v>
      </c>
      <c r="E31" s="18" t="s">
        <v>141</v>
      </c>
      <c r="F31" s="18">
        <v>2</v>
      </c>
      <c r="G31" s="48">
        <v>0</v>
      </c>
      <c r="H31" s="48">
        <v>0</v>
      </c>
      <c r="I31" s="48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48">
        <v>100</v>
      </c>
      <c r="P31" s="48">
        <v>0</v>
      </c>
    </row>
    <row r="32" spans="3:16" x14ac:dyDescent="0.35">
      <c r="C32" s="18">
        <v>7</v>
      </c>
      <c r="D32" s="17" t="s">
        <v>142</v>
      </c>
      <c r="E32" s="18" t="s">
        <v>143</v>
      </c>
      <c r="F32" s="18">
        <v>2</v>
      </c>
      <c r="G32" s="48">
        <v>0</v>
      </c>
      <c r="H32" s="48">
        <v>0</v>
      </c>
      <c r="I32" s="48">
        <v>50</v>
      </c>
      <c r="J32" s="48">
        <v>0</v>
      </c>
      <c r="K32" s="48">
        <v>0</v>
      </c>
      <c r="L32" s="48">
        <v>50</v>
      </c>
      <c r="M32" s="48">
        <v>0</v>
      </c>
      <c r="N32" s="48">
        <v>0</v>
      </c>
      <c r="O32" s="48">
        <v>0</v>
      </c>
      <c r="P32" s="48">
        <v>0</v>
      </c>
    </row>
    <row r="33" spans="3:16" x14ac:dyDescent="0.35">
      <c r="C33" s="18">
        <v>8</v>
      </c>
      <c r="D33" s="17" t="s">
        <v>144</v>
      </c>
      <c r="E33" s="18" t="s">
        <v>145</v>
      </c>
      <c r="F33" s="18">
        <v>2</v>
      </c>
      <c r="G33" s="48">
        <v>50</v>
      </c>
      <c r="H33" s="48">
        <v>0</v>
      </c>
      <c r="I33" s="48">
        <v>50</v>
      </c>
      <c r="J33" s="48">
        <v>0</v>
      </c>
      <c r="K33" s="48">
        <v>0</v>
      </c>
      <c r="L33" s="48">
        <v>0</v>
      </c>
      <c r="M33" s="48">
        <v>0</v>
      </c>
      <c r="N33" s="48">
        <v>0</v>
      </c>
      <c r="O33" s="48">
        <v>0</v>
      </c>
      <c r="P33" s="48">
        <v>0</v>
      </c>
    </row>
    <row r="34" spans="3:16" x14ac:dyDescent="0.35">
      <c r="C34" s="18">
        <v>9</v>
      </c>
      <c r="D34" s="17" t="s">
        <v>146</v>
      </c>
      <c r="E34" s="18" t="s">
        <v>147</v>
      </c>
      <c r="F34" s="18">
        <v>3</v>
      </c>
      <c r="G34" s="48">
        <v>0</v>
      </c>
      <c r="H34" s="48">
        <v>50</v>
      </c>
      <c r="I34" s="48">
        <v>50</v>
      </c>
      <c r="J34" s="48">
        <v>0</v>
      </c>
      <c r="K34" s="48">
        <v>0</v>
      </c>
      <c r="L34" s="48">
        <v>0</v>
      </c>
      <c r="M34" s="48">
        <v>0</v>
      </c>
      <c r="N34" s="48">
        <v>0</v>
      </c>
      <c r="O34" s="48">
        <v>0</v>
      </c>
      <c r="P34" s="48">
        <v>0</v>
      </c>
    </row>
    <row r="35" spans="3:16" x14ac:dyDescent="0.35">
      <c r="C35" s="18">
        <v>10</v>
      </c>
      <c r="D35" s="17" t="s">
        <v>148</v>
      </c>
      <c r="E35" s="18" t="s">
        <v>149</v>
      </c>
      <c r="F35" s="18">
        <v>2</v>
      </c>
      <c r="G35" s="48">
        <v>0</v>
      </c>
      <c r="H35" s="48">
        <v>50</v>
      </c>
      <c r="I35" s="48">
        <v>0</v>
      </c>
      <c r="J35" s="48">
        <v>0</v>
      </c>
      <c r="K35" s="48">
        <v>50</v>
      </c>
      <c r="L35" s="48">
        <v>0</v>
      </c>
      <c r="M35" s="48">
        <v>0</v>
      </c>
      <c r="N35" s="48">
        <v>0</v>
      </c>
      <c r="O35" s="48">
        <v>0</v>
      </c>
      <c r="P35" s="48">
        <v>0</v>
      </c>
    </row>
    <row r="36" spans="3:16" x14ac:dyDescent="0.35">
      <c r="C36" s="18">
        <v>11</v>
      </c>
      <c r="D36" s="17" t="s">
        <v>150</v>
      </c>
      <c r="E36" s="18" t="s">
        <v>151</v>
      </c>
      <c r="F36" s="18">
        <v>2</v>
      </c>
      <c r="G36" s="48">
        <v>0</v>
      </c>
      <c r="H36" s="48">
        <v>0</v>
      </c>
      <c r="I36" s="48">
        <v>0</v>
      </c>
      <c r="J36" s="48">
        <v>0</v>
      </c>
      <c r="K36" s="48">
        <v>50</v>
      </c>
      <c r="L36" s="48">
        <v>0</v>
      </c>
      <c r="M36" s="48">
        <v>0</v>
      </c>
      <c r="N36" s="48">
        <v>0</v>
      </c>
      <c r="O36" s="48">
        <v>50</v>
      </c>
      <c r="P36" s="48">
        <v>0</v>
      </c>
    </row>
    <row r="37" spans="3:16" x14ac:dyDescent="0.35">
      <c r="C37" s="44" t="s">
        <v>152</v>
      </c>
      <c r="D37" s="44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spans="3:16" x14ac:dyDescent="0.35">
      <c r="C38" s="18">
        <v>1</v>
      </c>
      <c r="D38" s="17" t="s">
        <v>153</v>
      </c>
      <c r="E38" s="18" t="s">
        <v>154</v>
      </c>
      <c r="F38" s="18">
        <v>2</v>
      </c>
      <c r="G38" s="48">
        <v>0</v>
      </c>
      <c r="H38" s="48">
        <v>0</v>
      </c>
      <c r="I38" s="48">
        <v>0</v>
      </c>
      <c r="J38" s="48">
        <v>0</v>
      </c>
      <c r="K38" s="48">
        <v>0</v>
      </c>
      <c r="L38" s="48">
        <v>0</v>
      </c>
      <c r="M38" s="48">
        <v>0</v>
      </c>
      <c r="N38" s="48">
        <v>50</v>
      </c>
      <c r="O38" s="48">
        <v>0</v>
      </c>
      <c r="P38" s="48">
        <v>50</v>
      </c>
    </row>
    <row r="39" spans="3:16" x14ac:dyDescent="0.35">
      <c r="C39" s="18">
        <v>2</v>
      </c>
      <c r="D39" s="17" t="s">
        <v>155</v>
      </c>
      <c r="E39" s="18" t="s">
        <v>156</v>
      </c>
      <c r="F39" s="18">
        <v>3</v>
      </c>
      <c r="G39" s="48">
        <v>50</v>
      </c>
      <c r="H39" s="48">
        <v>0</v>
      </c>
      <c r="I39" s="48">
        <v>0</v>
      </c>
      <c r="J39" s="48">
        <v>50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</row>
    <row r="40" spans="3:16" x14ac:dyDescent="0.35">
      <c r="C40" s="18">
        <v>3</v>
      </c>
      <c r="D40" s="17" t="s">
        <v>157</v>
      </c>
      <c r="E40" s="18" t="s">
        <v>158</v>
      </c>
      <c r="F40" s="18">
        <v>2</v>
      </c>
      <c r="G40" s="48">
        <v>33.33</v>
      </c>
      <c r="H40" s="48">
        <v>0</v>
      </c>
      <c r="I40" s="48">
        <v>33.33</v>
      </c>
      <c r="J40" s="48">
        <v>0</v>
      </c>
      <c r="K40" s="48">
        <v>33.33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</row>
    <row r="41" spans="3:16" x14ac:dyDescent="0.35">
      <c r="C41" s="18">
        <v>4</v>
      </c>
      <c r="D41" s="17" t="s">
        <v>159</v>
      </c>
      <c r="E41" s="18" t="s">
        <v>160</v>
      </c>
      <c r="F41" s="18">
        <v>2</v>
      </c>
      <c r="G41" s="48">
        <v>0</v>
      </c>
      <c r="H41" s="48">
        <v>50</v>
      </c>
      <c r="I41" s="48">
        <v>0</v>
      </c>
      <c r="J41" s="48">
        <v>0</v>
      </c>
      <c r="K41" s="48">
        <v>0</v>
      </c>
      <c r="L41" s="48">
        <v>0</v>
      </c>
      <c r="M41" s="48">
        <v>0</v>
      </c>
      <c r="N41" s="48">
        <v>50</v>
      </c>
      <c r="O41" s="48">
        <v>0</v>
      </c>
      <c r="P41" s="48">
        <v>0</v>
      </c>
    </row>
    <row r="42" spans="3:16" x14ac:dyDescent="0.35">
      <c r="C42" s="18">
        <v>5</v>
      </c>
      <c r="D42" s="17" t="s">
        <v>161</v>
      </c>
      <c r="E42" s="18" t="s">
        <v>162</v>
      </c>
      <c r="F42" s="18">
        <v>2</v>
      </c>
      <c r="G42" s="48">
        <v>0</v>
      </c>
      <c r="H42" s="48">
        <v>0</v>
      </c>
      <c r="I42" s="48">
        <v>0</v>
      </c>
      <c r="J42" s="48">
        <v>0</v>
      </c>
      <c r="K42" s="48">
        <v>50</v>
      </c>
      <c r="L42" s="48">
        <v>0</v>
      </c>
      <c r="M42" s="48">
        <v>0</v>
      </c>
      <c r="N42" s="48">
        <v>0</v>
      </c>
      <c r="O42" s="48">
        <v>50</v>
      </c>
      <c r="P42" s="48">
        <v>0</v>
      </c>
    </row>
    <row r="43" spans="3:16" x14ac:dyDescent="0.35">
      <c r="C43" s="18">
        <v>6</v>
      </c>
      <c r="D43" s="17" t="s">
        <v>163</v>
      </c>
      <c r="E43" s="18" t="s">
        <v>164</v>
      </c>
      <c r="F43" s="18">
        <v>2</v>
      </c>
      <c r="G43" s="48">
        <v>50</v>
      </c>
      <c r="H43" s="48">
        <v>0</v>
      </c>
      <c r="I43" s="48">
        <v>0</v>
      </c>
      <c r="J43" s="48">
        <v>0</v>
      </c>
      <c r="K43" s="48">
        <v>50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</row>
    <row r="44" spans="3:16" x14ac:dyDescent="0.35">
      <c r="C44" s="18">
        <v>7</v>
      </c>
      <c r="D44" s="17" t="s">
        <v>165</v>
      </c>
      <c r="E44" s="18" t="s">
        <v>166</v>
      </c>
      <c r="F44" s="18">
        <v>3</v>
      </c>
      <c r="G44" s="48">
        <v>50</v>
      </c>
      <c r="H44" s="48">
        <v>0</v>
      </c>
      <c r="I44" s="48">
        <v>0</v>
      </c>
      <c r="J44" s="48">
        <v>0</v>
      </c>
      <c r="K44" s="48">
        <v>50</v>
      </c>
      <c r="L44" s="48">
        <v>0</v>
      </c>
      <c r="M44" s="48">
        <v>0</v>
      </c>
      <c r="N44" s="48">
        <v>0</v>
      </c>
      <c r="O44" s="48">
        <v>0</v>
      </c>
      <c r="P44" s="48">
        <v>0</v>
      </c>
    </row>
    <row r="45" spans="3:16" x14ac:dyDescent="0.35">
      <c r="C45" s="18">
        <v>8</v>
      </c>
      <c r="D45" s="17" t="s">
        <v>167</v>
      </c>
      <c r="E45" s="18" t="s">
        <v>168</v>
      </c>
      <c r="F45" s="18">
        <v>2</v>
      </c>
      <c r="G45" s="48">
        <v>33.33</v>
      </c>
      <c r="H45" s="48">
        <v>0</v>
      </c>
      <c r="I45" s="48">
        <v>33.33</v>
      </c>
      <c r="J45" s="48">
        <v>0</v>
      </c>
      <c r="K45" s="48">
        <v>33.33</v>
      </c>
      <c r="L45" s="48">
        <v>0</v>
      </c>
      <c r="M45" s="48">
        <v>0</v>
      </c>
      <c r="N45" s="48">
        <v>0</v>
      </c>
      <c r="O45" s="48">
        <v>0</v>
      </c>
      <c r="P45" s="48">
        <v>0</v>
      </c>
    </row>
    <row r="46" spans="3:16" x14ac:dyDescent="0.35">
      <c r="C46" s="18">
        <v>9</v>
      </c>
      <c r="D46" s="17" t="s">
        <v>169</v>
      </c>
      <c r="E46" s="18" t="s">
        <v>170</v>
      </c>
      <c r="F46" s="18">
        <v>2</v>
      </c>
      <c r="G46" s="48">
        <v>0</v>
      </c>
      <c r="H46" s="48">
        <v>50</v>
      </c>
      <c r="I46" s="48">
        <v>0</v>
      </c>
      <c r="J46" s="48">
        <v>0</v>
      </c>
      <c r="K46" s="48">
        <v>50</v>
      </c>
      <c r="L46" s="48">
        <v>0</v>
      </c>
      <c r="M46" s="48">
        <v>0</v>
      </c>
      <c r="N46" s="48">
        <v>0</v>
      </c>
      <c r="O46" s="48">
        <v>0</v>
      </c>
      <c r="P46" s="48">
        <v>0</v>
      </c>
    </row>
    <row r="47" spans="3:16" x14ac:dyDescent="0.35">
      <c r="C47" s="18">
        <v>10</v>
      </c>
      <c r="D47" s="17" t="s">
        <v>171</v>
      </c>
      <c r="E47" s="18" t="s">
        <v>172</v>
      </c>
      <c r="F47" s="18">
        <v>2</v>
      </c>
      <c r="G47" s="48">
        <v>0</v>
      </c>
      <c r="H47" s="48">
        <v>50</v>
      </c>
      <c r="I47" s="48">
        <v>0</v>
      </c>
      <c r="J47" s="48">
        <v>0</v>
      </c>
      <c r="K47" s="48">
        <v>50</v>
      </c>
      <c r="L47" s="48">
        <v>0</v>
      </c>
      <c r="M47" s="48">
        <v>0</v>
      </c>
      <c r="N47" s="48">
        <v>0</v>
      </c>
      <c r="O47" s="48">
        <v>0</v>
      </c>
      <c r="P47" s="48">
        <v>0</v>
      </c>
    </row>
    <row r="48" spans="3:16" x14ac:dyDescent="0.35">
      <c r="C48" s="44" t="s">
        <v>173</v>
      </c>
      <c r="D48" s="44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 spans="3:16" x14ac:dyDescent="0.35">
      <c r="C49" s="18">
        <v>1</v>
      </c>
      <c r="D49" s="17" t="s">
        <v>174</v>
      </c>
      <c r="E49" s="18" t="s">
        <v>175</v>
      </c>
      <c r="F49" s="18">
        <v>2</v>
      </c>
      <c r="G49" s="48">
        <v>0</v>
      </c>
      <c r="H49" s="48">
        <v>33.33</v>
      </c>
      <c r="I49" s="48">
        <v>0</v>
      </c>
      <c r="J49" s="48">
        <v>0</v>
      </c>
      <c r="K49" s="48">
        <v>33.33</v>
      </c>
      <c r="L49" s="48">
        <v>0</v>
      </c>
      <c r="M49" s="48">
        <v>0</v>
      </c>
      <c r="N49" s="48">
        <v>0</v>
      </c>
      <c r="O49" s="48">
        <v>33.33</v>
      </c>
      <c r="P49" s="48">
        <v>0</v>
      </c>
    </row>
    <row r="50" spans="3:16" x14ac:dyDescent="0.35">
      <c r="C50" s="18">
        <v>2</v>
      </c>
      <c r="D50" s="17" t="s">
        <v>176</v>
      </c>
      <c r="E50" s="18" t="s">
        <v>177</v>
      </c>
      <c r="F50" s="18">
        <v>2</v>
      </c>
      <c r="G50" s="48">
        <v>0</v>
      </c>
      <c r="H50" s="48">
        <v>50</v>
      </c>
      <c r="I50" s="48">
        <v>0</v>
      </c>
      <c r="J50" s="48">
        <v>0</v>
      </c>
      <c r="K50" s="48">
        <v>50</v>
      </c>
      <c r="L50" s="48">
        <v>0</v>
      </c>
      <c r="M50" s="48">
        <v>0</v>
      </c>
      <c r="N50" s="48">
        <v>0</v>
      </c>
      <c r="O50" s="48">
        <v>0</v>
      </c>
      <c r="P50" s="48">
        <v>0</v>
      </c>
    </row>
    <row r="51" spans="3:16" x14ac:dyDescent="0.35">
      <c r="C51" s="18">
        <v>3</v>
      </c>
      <c r="D51" s="17" t="s">
        <v>178</v>
      </c>
      <c r="E51" s="18" t="s">
        <v>179</v>
      </c>
      <c r="F51" s="18">
        <v>2</v>
      </c>
      <c r="G51" s="48">
        <v>0</v>
      </c>
      <c r="H51" s="48">
        <v>0</v>
      </c>
      <c r="I51" s="48">
        <v>0</v>
      </c>
      <c r="J51" s="48">
        <v>0</v>
      </c>
      <c r="K51" s="48">
        <v>0</v>
      </c>
      <c r="L51" s="48">
        <v>0</v>
      </c>
      <c r="M51" s="48">
        <v>50</v>
      </c>
      <c r="N51" s="48">
        <v>50</v>
      </c>
      <c r="O51" s="48">
        <v>0</v>
      </c>
      <c r="P51" s="48">
        <v>0</v>
      </c>
    </row>
    <row r="52" spans="3:16" x14ac:dyDescent="0.35">
      <c r="C52" s="18">
        <v>4</v>
      </c>
      <c r="D52" s="17" t="s">
        <v>180</v>
      </c>
      <c r="E52" s="18" t="s">
        <v>181</v>
      </c>
      <c r="F52" s="18">
        <v>2</v>
      </c>
      <c r="G52" s="48">
        <v>0</v>
      </c>
      <c r="H52" s="48">
        <v>50</v>
      </c>
      <c r="I52" s="48">
        <v>0</v>
      </c>
      <c r="J52" s="48">
        <v>0</v>
      </c>
      <c r="K52" s="48">
        <v>0</v>
      </c>
      <c r="L52" s="48">
        <v>0</v>
      </c>
      <c r="M52" s="48">
        <v>0</v>
      </c>
      <c r="N52" s="48">
        <v>50</v>
      </c>
      <c r="O52" s="48">
        <v>0</v>
      </c>
      <c r="P52" s="48">
        <v>0</v>
      </c>
    </row>
    <row r="53" spans="3:16" x14ac:dyDescent="0.35">
      <c r="C53" s="18">
        <v>5</v>
      </c>
      <c r="D53" s="17" t="s">
        <v>182</v>
      </c>
      <c r="E53" s="18" t="s">
        <v>183</v>
      </c>
      <c r="F53" s="18">
        <v>2</v>
      </c>
      <c r="G53" s="48">
        <v>0</v>
      </c>
      <c r="H53" s="48">
        <v>50</v>
      </c>
      <c r="I53" s="48">
        <v>0</v>
      </c>
      <c r="J53" s="48">
        <v>0</v>
      </c>
      <c r="K53" s="48">
        <v>50</v>
      </c>
      <c r="L53" s="48">
        <v>0</v>
      </c>
      <c r="M53" s="48">
        <v>0</v>
      </c>
      <c r="N53" s="48">
        <v>0</v>
      </c>
      <c r="O53" s="48">
        <v>0</v>
      </c>
      <c r="P53" s="48">
        <v>0</v>
      </c>
    </row>
    <row r="54" spans="3:16" x14ac:dyDescent="0.35">
      <c r="C54" s="18">
        <v>6</v>
      </c>
      <c r="D54" s="17" t="s">
        <v>184</v>
      </c>
      <c r="E54" s="18" t="s">
        <v>185</v>
      </c>
      <c r="F54" s="18">
        <v>2</v>
      </c>
      <c r="G54" s="48">
        <v>0</v>
      </c>
      <c r="H54" s="48">
        <v>0</v>
      </c>
      <c r="I54" s="48">
        <v>0</v>
      </c>
      <c r="J54" s="48">
        <v>50</v>
      </c>
      <c r="K54" s="48">
        <v>50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</row>
    <row r="55" spans="3:16" x14ac:dyDescent="0.35">
      <c r="C55" s="18">
        <v>7</v>
      </c>
      <c r="D55" s="17" t="s">
        <v>186</v>
      </c>
      <c r="E55" s="18" t="s">
        <v>187</v>
      </c>
      <c r="F55" s="18">
        <v>2</v>
      </c>
      <c r="G55" s="48">
        <v>0</v>
      </c>
      <c r="H55" s="48">
        <v>50</v>
      </c>
      <c r="I55" s="48">
        <v>0</v>
      </c>
      <c r="J55" s="48">
        <v>0</v>
      </c>
      <c r="K55" s="48">
        <v>50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</row>
    <row r="56" spans="3:16" x14ac:dyDescent="0.35">
      <c r="C56" s="18">
        <v>8</v>
      </c>
      <c r="D56" s="17" t="s">
        <v>188</v>
      </c>
      <c r="E56" s="18" t="s">
        <v>189</v>
      </c>
      <c r="F56" s="18">
        <v>2</v>
      </c>
      <c r="G56" s="48">
        <v>0</v>
      </c>
      <c r="H56" s="48">
        <v>50</v>
      </c>
      <c r="I56" s="48">
        <v>0</v>
      </c>
      <c r="J56" s="48">
        <v>0</v>
      </c>
      <c r="K56" s="48">
        <v>50</v>
      </c>
      <c r="L56" s="48">
        <v>0</v>
      </c>
      <c r="M56" s="48">
        <v>0</v>
      </c>
      <c r="N56" s="48">
        <v>0</v>
      </c>
      <c r="O56" s="48">
        <v>0</v>
      </c>
      <c r="P56" s="48">
        <v>0</v>
      </c>
    </row>
    <row r="57" spans="3:16" x14ac:dyDescent="0.35">
      <c r="C57" s="18">
        <v>9</v>
      </c>
      <c r="D57" s="17" t="s">
        <v>190</v>
      </c>
      <c r="E57" s="18" t="s">
        <v>191</v>
      </c>
      <c r="F57" s="18">
        <v>2</v>
      </c>
      <c r="G57" s="48">
        <v>0</v>
      </c>
      <c r="H57" s="48">
        <v>0</v>
      </c>
      <c r="I57" s="48">
        <v>50</v>
      </c>
      <c r="J57" s="48">
        <v>0</v>
      </c>
      <c r="K57" s="48">
        <v>50</v>
      </c>
      <c r="L57" s="48">
        <v>0</v>
      </c>
      <c r="M57" s="48">
        <v>0</v>
      </c>
      <c r="N57" s="48">
        <v>0</v>
      </c>
      <c r="O57" s="48">
        <v>0</v>
      </c>
      <c r="P57" s="48">
        <v>0</v>
      </c>
    </row>
    <row r="58" spans="3:16" x14ac:dyDescent="0.35">
      <c r="C58" s="18">
        <v>10</v>
      </c>
      <c r="D58" s="17" t="s">
        <v>192</v>
      </c>
      <c r="E58" s="18" t="s">
        <v>193</v>
      </c>
      <c r="F58" s="18">
        <v>2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50</v>
      </c>
      <c r="N58" s="48">
        <v>50</v>
      </c>
      <c r="O58" s="48">
        <v>0</v>
      </c>
      <c r="P58" s="48">
        <v>0</v>
      </c>
    </row>
    <row r="59" spans="3:16" x14ac:dyDescent="0.35">
      <c r="C59" s="18">
        <v>11</v>
      </c>
      <c r="D59" s="17" t="s">
        <v>194</v>
      </c>
      <c r="E59" s="18" t="s">
        <v>195</v>
      </c>
      <c r="F59" s="18">
        <v>2</v>
      </c>
      <c r="G59" s="48">
        <v>0</v>
      </c>
      <c r="H59" s="48">
        <v>0</v>
      </c>
      <c r="I59" s="48">
        <v>50</v>
      </c>
      <c r="J59" s="48">
        <v>0</v>
      </c>
      <c r="K59" s="48">
        <v>0</v>
      </c>
      <c r="L59" s="48">
        <v>50</v>
      </c>
      <c r="M59" s="48">
        <v>0</v>
      </c>
      <c r="N59" s="48">
        <v>0</v>
      </c>
      <c r="O59" s="48">
        <v>0</v>
      </c>
      <c r="P59" s="48">
        <v>0</v>
      </c>
    </row>
    <row r="60" spans="3:16" x14ac:dyDescent="0.35">
      <c r="C60" s="18">
        <v>12</v>
      </c>
      <c r="D60" s="17" t="s">
        <v>196</v>
      </c>
      <c r="E60" s="18" t="s">
        <v>197</v>
      </c>
      <c r="F60" s="18">
        <v>2</v>
      </c>
      <c r="G60" s="48">
        <v>0</v>
      </c>
      <c r="H60" s="48">
        <v>0</v>
      </c>
      <c r="I60" s="48">
        <v>50</v>
      </c>
      <c r="J60" s="48">
        <v>0</v>
      </c>
      <c r="K60" s="48">
        <v>50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</row>
    <row r="61" spans="3:16" x14ac:dyDescent="0.35">
      <c r="C61" s="44" t="s">
        <v>198</v>
      </c>
      <c r="D61" s="44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</row>
    <row r="62" spans="3:16" x14ac:dyDescent="0.35">
      <c r="C62" s="18">
        <v>1</v>
      </c>
      <c r="D62" s="17" t="s">
        <v>199</v>
      </c>
      <c r="E62" s="18" t="s">
        <v>200</v>
      </c>
      <c r="F62" s="18">
        <v>3</v>
      </c>
      <c r="G62" s="48">
        <v>0</v>
      </c>
      <c r="H62" s="48">
        <v>33.33</v>
      </c>
      <c r="I62" s="48">
        <v>0</v>
      </c>
      <c r="J62" s="48">
        <v>0</v>
      </c>
      <c r="K62" s="48">
        <v>33.33</v>
      </c>
      <c r="L62" s="48">
        <v>0</v>
      </c>
      <c r="M62" s="48">
        <v>0</v>
      </c>
      <c r="N62" s="48">
        <v>0</v>
      </c>
      <c r="O62" s="48">
        <v>33.33</v>
      </c>
      <c r="P62" s="48">
        <v>0</v>
      </c>
    </row>
    <row r="63" spans="3:16" x14ac:dyDescent="0.35">
      <c r="C63" s="18">
        <v>2</v>
      </c>
      <c r="D63" s="17" t="s">
        <v>201</v>
      </c>
      <c r="E63" s="18" t="s">
        <v>202</v>
      </c>
      <c r="F63" s="18">
        <v>2</v>
      </c>
      <c r="G63" s="48">
        <v>0</v>
      </c>
      <c r="H63" s="48">
        <v>50</v>
      </c>
      <c r="I63" s="48">
        <v>0</v>
      </c>
      <c r="J63" s="48">
        <v>0</v>
      </c>
      <c r="K63" s="48">
        <v>50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</row>
    <row r="64" spans="3:16" x14ac:dyDescent="0.35">
      <c r="C64" s="18">
        <v>3</v>
      </c>
      <c r="D64" s="17" t="s">
        <v>203</v>
      </c>
      <c r="E64" s="18" t="s">
        <v>204</v>
      </c>
      <c r="F64" s="18">
        <v>2</v>
      </c>
      <c r="G64" s="48">
        <v>0</v>
      </c>
      <c r="H64" s="48">
        <v>50</v>
      </c>
      <c r="I64" s="48">
        <v>0</v>
      </c>
      <c r="J64" s="48">
        <v>0</v>
      </c>
      <c r="K64" s="48">
        <v>50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</row>
    <row r="65" spans="3:17" x14ac:dyDescent="0.35">
      <c r="C65" s="18">
        <v>4</v>
      </c>
      <c r="D65" s="17" t="s">
        <v>205</v>
      </c>
      <c r="E65" s="18" t="s">
        <v>206</v>
      </c>
      <c r="F65" s="18">
        <v>2</v>
      </c>
      <c r="G65" s="48">
        <v>0</v>
      </c>
      <c r="H65" s="48">
        <v>50</v>
      </c>
      <c r="I65" s="48">
        <v>0</v>
      </c>
      <c r="J65" s="48">
        <v>0</v>
      </c>
      <c r="K65" s="48">
        <v>50</v>
      </c>
      <c r="L65" s="48">
        <v>0</v>
      </c>
      <c r="M65" s="48">
        <v>0</v>
      </c>
      <c r="N65" s="48">
        <v>0</v>
      </c>
      <c r="O65" s="48">
        <v>0</v>
      </c>
      <c r="P65" s="48">
        <v>0</v>
      </c>
    </row>
    <row r="66" spans="3:17" x14ac:dyDescent="0.35">
      <c r="C66" s="18">
        <v>5</v>
      </c>
      <c r="D66" s="17" t="s">
        <v>207</v>
      </c>
      <c r="E66" s="18" t="s">
        <v>208</v>
      </c>
      <c r="F66" s="18">
        <v>2</v>
      </c>
      <c r="G66" s="48">
        <v>0</v>
      </c>
      <c r="H66" s="48">
        <v>0</v>
      </c>
      <c r="I66" s="48">
        <v>0</v>
      </c>
      <c r="J66" s="48">
        <v>50</v>
      </c>
      <c r="K66" s="48">
        <v>50</v>
      </c>
      <c r="L66" s="48">
        <v>0</v>
      </c>
      <c r="M66" s="48">
        <v>0</v>
      </c>
      <c r="N66" s="48">
        <v>0</v>
      </c>
      <c r="O66" s="48">
        <v>0</v>
      </c>
      <c r="P66" s="48">
        <v>0</v>
      </c>
    </row>
    <row r="67" spans="3:17" x14ac:dyDescent="0.35">
      <c r="C67" s="18">
        <v>6</v>
      </c>
      <c r="D67" s="17" t="s">
        <v>209</v>
      </c>
      <c r="E67" s="18" t="s">
        <v>210</v>
      </c>
      <c r="F67" s="18">
        <v>2</v>
      </c>
      <c r="G67" s="48">
        <v>0</v>
      </c>
      <c r="H67" s="48">
        <v>50</v>
      </c>
      <c r="I67" s="48">
        <v>0</v>
      </c>
      <c r="J67" s="48">
        <v>0</v>
      </c>
      <c r="K67" s="48">
        <v>50</v>
      </c>
      <c r="L67" s="48">
        <v>0</v>
      </c>
      <c r="M67" s="48">
        <v>0</v>
      </c>
      <c r="N67" s="48">
        <v>0</v>
      </c>
      <c r="O67" s="48">
        <v>0</v>
      </c>
      <c r="P67" s="48">
        <v>0</v>
      </c>
    </row>
    <row r="68" spans="3:17" x14ac:dyDescent="0.35">
      <c r="C68" s="18">
        <v>7</v>
      </c>
      <c r="D68" s="17" t="s">
        <v>211</v>
      </c>
      <c r="E68" s="18" t="s">
        <v>212</v>
      </c>
      <c r="F68" s="18">
        <v>2</v>
      </c>
      <c r="G68" s="48">
        <v>0</v>
      </c>
      <c r="H68" s="48">
        <v>50</v>
      </c>
      <c r="I68" s="48">
        <v>0</v>
      </c>
      <c r="J68" s="48">
        <v>0</v>
      </c>
      <c r="K68" s="48">
        <v>0</v>
      </c>
      <c r="L68" s="48">
        <v>0</v>
      </c>
      <c r="M68" s="48">
        <v>50</v>
      </c>
      <c r="N68" s="48">
        <v>0</v>
      </c>
      <c r="O68" s="48">
        <v>0</v>
      </c>
      <c r="P68" s="48">
        <v>0</v>
      </c>
    </row>
    <row r="69" spans="3:17" x14ac:dyDescent="0.35">
      <c r="C69" s="18">
        <v>8</v>
      </c>
      <c r="D69" s="17" t="s">
        <v>248</v>
      </c>
      <c r="E69" s="18"/>
      <c r="F69" s="18">
        <v>2</v>
      </c>
      <c r="G69" s="48">
        <v>0</v>
      </c>
      <c r="H69" s="48">
        <v>50</v>
      </c>
      <c r="I69" s="48">
        <v>0</v>
      </c>
      <c r="J69" s="48">
        <v>0</v>
      </c>
      <c r="K69" s="48">
        <v>50</v>
      </c>
      <c r="L69" s="48">
        <v>0</v>
      </c>
      <c r="M69" s="48">
        <v>0</v>
      </c>
      <c r="N69" s="48">
        <v>0</v>
      </c>
      <c r="O69" s="48">
        <v>0</v>
      </c>
      <c r="P69" s="48">
        <v>0</v>
      </c>
    </row>
    <row r="70" spans="3:17" x14ac:dyDescent="0.35">
      <c r="C70" s="18">
        <v>9</v>
      </c>
      <c r="D70" s="17" t="s">
        <v>213</v>
      </c>
      <c r="E70" s="18" t="s">
        <v>214</v>
      </c>
      <c r="F70" s="18">
        <v>2</v>
      </c>
      <c r="G70" s="48">
        <v>0</v>
      </c>
      <c r="H70" s="48">
        <v>50</v>
      </c>
      <c r="I70" s="48">
        <v>0</v>
      </c>
      <c r="J70" s="48">
        <v>0</v>
      </c>
      <c r="K70" s="48">
        <v>0</v>
      </c>
      <c r="L70" s="48">
        <v>0</v>
      </c>
      <c r="M70" s="48">
        <v>0</v>
      </c>
      <c r="N70" s="48">
        <v>50</v>
      </c>
      <c r="O70" s="48">
        <v>0</v>
      </c>
      <c r="P70" s="48">
        <v>0</v>
      </c>
    </row>
    <row r="71" spans="3:17" x14ac:dyDescent="0.35">
      <c r="C71" s="18">
        <v>10</v>
      </c>
      <c r="D71" s="17" t="s">
        <v>215</v>
      </c>
      <c r="E71" s="18" t="s">
        <v>216</v>
      </c>
      <c r="F71" s="18">
        <v>2</v>
      </c>
      <c r="G71" s="48">
        <v>0</v>
      </c>
      <c r="H71" s="48">
        <v>50</v>
      </c>
      <c r="I71" s="48">
        <v>0</v>
      </c>
      <c r="J71" s="48">
        <v>0</v>
      </c>
      <c r="K71" s="48">
        <v>50</v>
      </c>
      <c r="L71" s="48">
        <v>0</v>
      </c>
      <c r="M71" s="48">
        <v>0</v>
      </c>
      <c r="N71" s="48">
        <v>0</v>
      </c>
      <c r="O71" s="48">
        <v>0</v>
      </c>
      <c r="P71" s="48">
        <v>0</v>
      </c>
    </row>
    <row r="72" spans="3:17" x14ac:dyDescent="0.35">
      <c r="C72" s="44" t="s">
        <v>217</v>
      </c>
      <c r="D72" s="44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3:17" x14ac:dyDescent="0.35">
      <c r="C73" s="18">
        <v>1</v>
      </c>
      <c r="D73" s="17" t="s">
        <v>218</v>
      </c>
      <c r="E73" s="18" t="s">
        <v>219</v>
      </c>
      <c r="F73" s="18">
        <v>4</v>
      </c>
      <c r="G73" s="48">
        <v>0</v>
      </c>
      <c r="H73" s="48">
        <v>33.33</v>
      </c>
      <c r="I73" s="48">
        <v>0</v>
      </c>
      <c r="J73" s="48">
        <v>0</v>
      </c>
      <c r="K73" s="48">
        <v>0</v>
      </c>
      <c r="L73" s="48">
        <v>0</v>
      </c>
      <c r="M73" s="48">
        <v>33.33</v>
      </c>
      <c r="N73" s="48">
        <v>33.33</v>
      </c>
      <c r="O73" s="48">
        <v>0</v>
      </c>
      <c r="P73" s="48">
        <v>0</v>
      </c>
    </row>
    <row r="74" spans="3:17" x14ac:dyDescent="0.35">
      <c r="C74" s="18">
        <v>2</v>
      </c>
      <c r="D74" s="17" t="s">
        <v>220</v>
      </c>
      <c r="E74" s="18" t="s">
        <v>221</v>
      </c>
      <c r="F74" s="18">
        <v>4</v>
      </c>
      <c r="G74" s="48">
        <v>11.11</v>
      </c>
      <c r="H74" s="48">
        <v>11.11</v>
      </c>
      <c r="I74" s="48">
        <v>11.11</v>
      </c>
      <c r="J74" s="48">
        <v>11.11</v>
      </c>
      <c r="K74" s="48">
        <v>11.11</v>
      </c>
      <c r="L74" s="48">
        <v>11.11</v>
      </c>
      <c r="M74" s="48">
        <v>11.11</v>
      </c>
      <c r="N74" s="48">
        <v>11.11</v>
      </c>
      <c r="O74" s="48">
        <v>11.11</v>
      </c>
      <c r="P74" s="48">
        <v>0</v>
      </c>
      <c r="Q74" s="47"/>
    </row>
    <row r="75" spans="3:17" x14ac:dyDescent="0.35">
      <c r="C75" s="18">
        <v>3</v>
      </c>
      <c r="D75" s="17" t="s">
        <v>222</v>
      </c>
      <c r="E75" s="18" t="s">
        <v>223</v>
      </c>
      <c r="F75" s="18">
        <v>2</v>
      </c>
      <c r="G75" s="48">
        <v>0</v>
      </c>
      <c r="H75" s="48">
        <v>0</v>
      </c>
      <c r="I75" s="48">
        <v>50</v>
      </c>
      <c r="J75" s="48">
        <v>0</v>
      </c>
      <c r="K75" s="48">
        <v>0</v>
      </c>
      <c r="L75" s="48">
        <v>50</v>
      </c>
      <c r="M75" s="48">
        <v>0</v>
      </c>
      <c r="N75" s="48">
        <v>0</v>
      </c>
      <c r="O75" s="48">
        <v>0</v>
      </c>
      <c r="P75" s="48">
        <v>0</v>
      </c>
    </row>
    <row r="76" spans="3:17" x14ac:dyDescent="0.35">
      <c r="C76" s="18">
        <v>4</v>
      </c>
      <c r="D76" s="17" t="s">
        <v>224</v>
      </c>
      <c r="E76" s="18" t="s">
        <v>225</v>
      </c>
      <c r="F76" s="18">
        <v>6</v>
      </c>
      <c r="G76" s="48">
        <v>10</v>
      </c>
      <c r="H76" s="48">
        <v>10</v>
      </c>
      <c r="I76" s="48">
        <v>10</v>
      </c>
      <c r="J76" s="48">
        <v>10</v>
      </c>
      <c r="K76" s="48">
        <v>10</v>
      </c>
      <c r="L76" s="48">
        <v>10</v>
      </c>
      <c r="M76" s="48">
        <v>10</v>
      </c>
      <c r="N76" s="48">
        <v>10</v>
      </c>
      <c r="O76" s="48">
        <v>10</v>
      </c>
      <c r="P76" s="48">
        <v>10</v>
      </c>
    </row>
    <row r="77" spans="3:17" x14ac:dyDescent="0.35">
      <c r="C77" s="44" t="s">
        <v>226</v>
      </c>
      <c r="D77" s="44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3:17" x14ac:dyDescent="0.35">
      <c r="C78" s="18">
        <v>1</v>
      </c>
      <c r="D78" s="17" t="s">
        <v>218</v>
      </c>
      <c r="E78" s="18" t="s">
        <v>219</v>
      </c>
      <c r="F78" s="18">
        <v>4</v>
      </c>
      <c r="G78" s="26" t="s">
        <v>290</v>
      </c>
      <c r="H78" s="26" t="s">
        <v>290</v>
      </c>
      <c r="I78" s="26" t="s">
        <v>290</v>
      </c>
      <c r="J78" s="26" t="s">
        <v>290</v>
      </c>
      <c r="K78" s="26" t="s">
        <v>290</v>
      </c>
      <c r="L78" s="16"/>
      <c r="M78" s="16"/>
      <c r="N78" s="26" t="s">
        <v>290</v>
      </c>
      <c r="O78" s="26" t="s">
        <v>290</v>
      </c>
      <c r="P78" s="16"/>
    </row>
    <row r="79" spans="3:17" x14ac:dyDescent="0.35">
      <c r="C79" s="18">
        <v>2</v>
      </c>
      <c r="D79" s="17" t="s">
        <v>220</v>
      </c>
      <c r="E79" s="18" t="s">
        <v>221</v>
      </c>
      <c r="F79" s="18">
        <v>4</v>
      </c>
      <c r="G79" s="26" t="s">
        <v>290</v>
      </c>
      <c r="H79" s="26" t="s">
        <v>290</v>
      </c>
      <c r="I79" s="26" t="s">
        <v>290</v>
      </c>
      <c r="J79" s="26" t="s">
        <v>290</v>
      </c>
      <c r="K79" s="26" t="s">
        <v>290</v>
      </c>
      <c r="L79" s="16"/>
      <c r="M79" s="16"/>
      <c r="N79" s="26" t="s">
        <v>290</v>
      </c>
      <c r="O79" s="26" t="s">
        <v>290</v>
      </c>
      <c r="P79" s="16"/>
    </row>
    <row r="80" spans="3:17" x14ac:dyDescent="0.35">
      <c r="C80" s="18">
        <v>3</v>
      </c>
      <c r="D80" s="17" t="s">
        <v>222</v>
      </c>
      <c r="E80" s="18" t="s">
        <v>223</v>
      </c>
      <c r="F80" s="18">
        <v>2</v>
      </c>
      <c r="G80" s="26" t="s">
        <v>290</v>
      </c>
      <c r="H80" s="16"/>
      <c r="I80" s="26" t="s">
        <v>290</v>
      </c>
      <c r="J80" s="26" t="s">
        <v>290</v>
      </c>
      <c r="K80" s="16"/>
      <c r="L80" s="26" t="s">
        <v>290</v>
      </c>
      <c r="M80" s="26" t="s">
        <v>290</v>
      </c>
      <c r="N80" s="16"/>
      <c r="O80" s="26" t="s">
        <v>290</v>
      </c>
      <c r="P80" s="26" t="s">
        <v>290</v>
      </c>
    </row>
    <row r="81" spans="3:16" x14ac:dyDescent="0.35">
      <c r="C81" s="18">
        <v>4</v>
      </c>
      <c r="D81" s="17" t="s">
        <v>224</v>
      </c>
      <c r="E81" s="18" t="s">
        <v>225</v>
      </c>
      <c r="F81" s="18">
        <v>6</v>
      </c>
      <c r="G81" s="26" t="s">
        <v>290</v>
      </c>
      <c r="H81" s="26" t="s">
        <v>290</v>
      </c>
      <c r="I81" s="26" t="s">
        <v>290</v>
      </c>
      <c r="J81" s="26" t="s">
        <v>290</v>
      </c>
      <c r="K81" s="26" t="s">
        <v>290</v>
      </c>
      <c r="L81" s="16"/>
      <c r="M81" s="16"/>
      <c r="N81" s="26" t="s">
        <v>290</v>
      </c>
      <c r="O81" s="26" t="s">
        <v>290</v>
      </c>
      <c r="P81" s="16"/>
    </row>
    <row r="82" spans="3:16" x14ac:dyDescent="0.35">
      <c r="G82" s="47">
        <f>SUM(G7:G76)</f>
        <v>712.7700000000001</v>
      </c>
      <c r="H82" s="47">
        <f t="shared" ref="H82:P82" si="0">SUM(H7:H76)</f>
        <v>1246.0999999999997</v>
      </c>
      <c r="I82" s="47">
        <f t="shared" si="0"/>
        <v>462.77</v>
      </c>
      <c r="J82" s="47">
        <f t="shared" si="0"/>
        <v>571.11</v>
      </c>
      <c r="K82" s="47">
        <f t="shared" si="0"/>
        <v>1479.4299999999998</v>
      </c>
      <c r="L82" s="47">
        <f t="shared" si="0"/>
        <v>371.11</v>
      </c>
      <c r="M82" s="47">
        <f t="shared" si="0"/>
        <v>254.44</v>
      </c>
      <c r="N82" s="47">
        <f t="shared" si="0"/>
        <v>637.77333333333343</v>
      </c>
      <c r="O82" s="47">
        <f t="shared" si="0"/>
        <v>371.10333333333335</v>
      </c>
      <c r="P82" s="47">
        <f t="shared" si="0"/>
        <v>293.33333333333337</v>
      </c>
    </row>
  </sheetData>
  <mergeCells count="13">
    <mergeCell ref="C77:D77"/>
    <mergeCell ref="C15:D15"/>
    <mergeCell ref="C25:D25"/>
    <mergeCell ref="C37:D37"/>
    <mergeCell ref="C48:D48"/>
    <mergeCell ref="C61:D61"/>
    <mergeCell ref="C72:D72"/>
    <mergeCell ref="C6:D6"/>
    <mergeCell ref="G4:P4"/>
    <mergeCell ref="F4:F5"/>
    <mergeCell ref="E4:E5"/>
    <mergeCell ref="D4:D5"/>
    <mergeCell ref="C4:C5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C6CB-CD31-4036-8CCA-1D288170202C}">
  <dimension ref="C4:R81"/>
  <sheetViews>
    <sheetView topLeftCell="I73" zoomScale="87" zoomScaleNormal="87" workbookViewId="0">
      <selection activeCell="Q77" sqref="Q77"/>
    </sheetView>
  </sheetViews>
  <sheetFormatPr defaultRowHeight="14.5" x14ac:dyDescent="0.35"/>
  <cols>
    <col min="3" max="3" width="5" style="8" customWidth="1"/>
    <col min="4" max="4" width="36.08984375" customWidth="1"/>
    <col min="5" max="5" width="33.7265625" customWidth="1"/>
    <col min="6" max="6" width="7.7265625" style="8" customWidth="1"/>
    <col min="7" max="7" width="32.08984375" customWidth="1"/>
    <col min="8" max="8" width="7.7265625" style="25" customWidth="1"/>
    <col min="9" max="9" width="32.08984375" customWidth="1"/>
    <col min="10" max="10" width="7.6328125" style="25" customWidth="1"/>
    <col min="11" max="11" width="32.08984375" customWidth="1"/>
    <col min="12" max="12" width="7.6328125" style="25" customWidth="1"/>
    <col min="13" max="13" width="32.08984375" customWidth="1"/>
    <col min="14" max="14" width="7.6328125" style="25" customWidth="1"/>
    <col min="15" max="15" width="42.08984375" customWidth="1"/>
    <col min="16" max="16" width="8.7265625" style="25"/>
    <col min="17" max="17" width="20.453125" customWidth="1"/>
    <col min="18" max="18" width="8.7265625" style="25"/>
  </cols>
  <sheetData>
    <row r="4" spans="3:18" x14ac:dyDescent="0.35">
      <c r="C4" s="45" t="s">
        <v>0</v>
      </c>
      <c r="D4" s="45" t="s">
        <v>93</v>
      </c>
      <c r="E4" s="44" t="s">
        <v>227</v>
      </c>
      <c r="F4" s="44"/>
      <c r="G4" s="44"/>
      <c r="H4" s="44"/>
      <c r="I4" s="44"/>
      <c r="J4" s="44"/>
      <c r="K4" s="44"/>
      <c r="L4" s="44"/>
      <c r="M4" s="44"/>
      <c r="N4" s="15"/>
      <c r="O4" s="16"/>
      <c r="P4" s="15"/>
      <c r="Q4" s="16"/>
      <c r="R4" s="15"/>
    </row>
    <row r="5" spans="3:18" x14ac:dyDescent="0.35">
      <c r="C5" s="45"/>
      <c r="D5" s="45"/>
      <c r="E5" s="15" t="s">
        <v>228</v>
      </c>
      <c r="F5" s="14" t="s">
        <v>233</v>
      </c>
      <c r="G5" s="15" t="s">
        <v>229</v>
      </c>
      <c r="H5" s="15" t="s">
        <v>233</v>
      </c>
      <c r="I5" s="15" t="s">
        <v>230</v>
      </c>
      <c r="J5" s="15" t="s">
        <v>233</v>
      </c>
      <c r="K5" s="15" t="s">
        <v>231</v>
      </c>
      <c r="L5" s="15" t="s">
        <v>233</v>
      </c>
      <c r="M5" s="15" t="s">
        <v>232</v>
      </c>
      <c r="N5" s="15" t="s">
        <v>233</v>
      </c>
      <c r="O5" s="15" t="s">
        <v>263</v>
      </c>
      <c r="P5" s="15" t="s">
        <v>233</v>
      </c>
      <c r="Q5" s="15" t="s">
        <v>264</v>
      </c>
      <c r="R5" s="15" t="s">
        <v>233</v>
      </c>
    </row>
    <row r="6" spans="3:18" x14ac:dyDescent="0.35">
      <c r="C6" s="44" t="s">
        <v>96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16"/>
      <c r="P6" s="15"/>
      <c r="Q6" s="16"/>
      <c r="R6" s="15"/>
    </row>
    <row r="7" spans="3:18" ht="52" x14ac:dyDescent="0.35">
      <c r="C7" s="14">
        <v>1</v>
      </c>
      <c r="D7" s="23" t="s">
        <v>97</v>
      </c>
      <c r="E7" s="20" t="s">
        <v>292</v>
      </c>
      <c r="F7" s="18">
        <v>25</v>
      </c>
      <c r="G7" s="20" t="s">
        <v>293</v>
      </c>
      <c r="H7" s="14">
        <v>25</v>
      </c>
      <c r="I7" s="20" t="s">
        <v>294</v>
      </c>
      <c r="J7" s="14">
        <v>25</v>
      </c>
      <c r="K7" s="20" t="s">
        <v>295</v>
      </c>
      <c r="L7" s="14">
        <v>25</v>
      </c>
      <c r="M7" s="22"/>
      <c r="N7" s="14"/>
      <c r="O7" s="21"/>
      <c r="P7" s="14"/>
      <c r="Q7" s="21"/>
      <c r="R7" s="14"/>
    </row>
    <row r="8" spans="3:18" ht="52" x14ac:dyDescent="0.35">
      <c r="C8" s="14">
        <v>2</v>
      </c>
      <c r="D8" s="23" t="s">
        <v>98</v>
      </c>
      <c r="E8" s="20" t="s">
        <v>305</v>
      </c>
      <c r="F8" s="14">
        <v>25</v>
      </c>
      <c r="G8" s="20" t="s">
        <v>306</v>
      </c>
      <c r="H8" s="14">
        <v>25</v>
      </c>
      <c r="I8" s="20" t="s">
        <v>307</v>
      </c>
      <c r="J8" s="14">
        <v>25</v>
      </c>
      <c r="K8" s="20" t="s">
        <v>308</v>
      </c>
      <c r="L8" s="14">
        <v>25</v>
      </c>
      <c r="M8" s="21"/>
      <c r="N8" s="14"/>
      <c r="O8" s="21"/>
      <c r="P8" s="14"/>
      <c r="Q8" s="21"/>
      <c r="R8" s="14"/>
    </row>
    <row r="9" spans="3:18" ht="26" x14ac:dyDescent="0.35">
      <c r="C9" s="14">
        <v>3</v>
      </c>
      <c r="D9" s="23" t="s">
        <v>99</v>
      </c>
      <c r="E9" s="20" t="s">
        <v>312</v>
      </c>
      <c r="F9" s="18">
        <v>20</v>
      </c>
      <c r="G9" s="20" t="s">
        <v>313</v>
      </c>
      <c r="H9" s="14">
        <v>20</v>
      </c>
      <c r="I9" s="20" t="s">
        <v>309</v>
      </c>
      <c r="J9" s="14">
        <v>20</v>
      </c>
      <c r="K9" s="20" t="s">
        <v>310</v>
      </c>
      <c r="L9" s="14">
        <v>20</v>
      </c>
      <c r="M9" s="20" t="s">
        <v>311</v>
      </c>
      <c r="N9" s="14">
        <v>20</v>
      </c>
      <c r="O9" s="21"/>
      <c r="P9" s="14"/>
      <c r="Q9" s="21"/>
      <c r="R9" s="14"/>
    </row>
    <row r="10" spans="3:18" ht="52" x14ac:dyDescent="0.35">
      <c r="C10" s="14">
        <v>4</v>
      </c>
      <c r="D10" s="23" t="s">
        <v>100</v>
      </c>
      <c r="E10" s="20" t="s">
        <v>317</v>
      </c>
      <c r="F10" s="14">
        <v>25</v>
      </c>
      <c r="G10" s="20" t="s">
        <v>289</v>
      </c>
      <c r="H10" s="14">
        <v>25</v>
      </c>
      <c r="I10" s="20" t="s">
        <v>288</v>
      </c>
      <c r="J10" s="14">
        <v>25</v>
      </c>
      <c r="K10" s="20" t="s">
        <v>265</v>
      </c>
      <c r="L10" s="14">
        <v>25</v>
      </c>
      <c r="M10" s="21"/>
      <c r="N10" s="14"/>
      <c r="O10" s="21"/>
      <c r="P10" s="14"/>
      <c r="Q10" s="21"/>
      <c r="R10" s="14"/>
    </row>
    <row r="11" spans="3:18" ht="91" x14ac:dyDescent="0.35">
      <c r="C11" s="14">
        <v>5</v>
      </c>
      <c r="D11" s="23" t="s">
        <v>101</v>
      </c>
      <c r="E11" s="20" t="s">
        <v>319</v>
      </c>
      <c r="F11" s="14">
        <v>25</v>
      </c>
      <c r="G11" s="20" t="s">
        <v>320</v>
      </c>
      <c r="H11" s="14">
        <v>25</v>
      </c>
      <c r="I11" s="20" t="s">
        <v>321</v>
      </c>
      <c r="J11" s="14">
        <v>25</v>
      </c>
      <c r="K11" s="20" t="s">
        <v>318</v>
      </c>
      <c r="L11" s="14">
        <v>25</v>
      </c>
      <c r="M11" s="21"/>
      <c r="N11" s="14"/>
      <c r="O11" s="21"/>
      <c r="P11" s="14"/>
      <c r="Q11" s="21"/>
      <c r="R11" s="14"/>
    </row>
    <row r="12" spans="3:18" ht="78" x14ac:dyDescent="0.35">
      <c r="C12" s="14">
        <v>6</v>
      </c>
      <c r="D12" s="23" t="s">
        <v>102</v>
      </c>
      <c r="E12" s="20" t="s">
        <v>322</v>
      </c>
      <c r="F12" s="14">
        <v>25</v>
      </c>
      <c r="G12" s="20" t="s">
        <v>326</v>
      </c>
      <c r="H12" s="14">
        <v>25</v>
      </c>
      <c r="I12" s="20" t="s">
        <v>323</v>
      </c>
      <c r="J12" s="14">
        <v>25</v>
      </c>
      <c r="K12" s="20" t="s">
        <v>324</v>
      </c>
      <c r="L12" s="14">
        <v>25</v>
      </c>
      <c r="M12" s="21"/>
      <c r="N12" s="14"/>
      <c r="O12" s="21"/>
      <c r="P12" s="14"/>
      <c r="Q12" s="21"/>
      <c r="R12" s="14"/>
    </row>
    <row r="13" spans="3:18" ht="26" x14ac:dyDescent="0.35">
      <c r="C13" s="14">
        <v>7</v>
      </c>
      <c r="D13" s="23" t="s">
        <v>103</v>
      </c>
      <c r="E13" s="20" t="s">
        <v>328</v>
      </c>
      <c r="F13" s="14">
        <v>20</v>
      </c>
      <c r="G13" s="20" t="s">
        <v>329</v>
      </c>
      <c r="H13" s="14">
        <v>20</v>
      </c>
      <c r="I13" s="20" t="s">
        <v>330</v>
      </c>
      <c r="J13" s="14">
        <v>20</v>
      </c>
      <c r="K13" s="20" t="s">
        <v>331</v>
      </c>
      <c r="L13" s="14">
        <v>20</v>
      </c>
      <c r="M13" s="20" t="s">
        <v>332</v>
      </c>
      <c r="N13" s="14">
        <v>20</v>
      </c>
      <c r="O13" s="21"/>
      <c r="P13" s="14"/>
      <c r="Q13" s="21"/>
      <c r="R13" s="14"/>
    </row>
    <row r="14" spans="3:18" ht="39" x14ac:dyDescent="0.35">
      <c r="C14" s="14">
        <v>8</v>
      </c>
      <c r="D14" s="23" t="s">
        <v>104</v>
      </c>
      <c r="E14" s="20" t="s">
        <v>337</v>
      </c>
      <c r="F14" s="14">
        <v>20</v>
      </c>
      <c r="G14" s="20" t="s">
        <v>333</v>
      </c>
      <c r="H14" s="14">
        <v>20</v>
      </c>
      <c r="I14" s="20" t="s">
        <v>334</v>
      </c>
      <c r="J14" s="14">
        <v>20</v>
      </c>
      <c r="K14" s="20" t="s">
        <v>335</v>
      </c>
      <c r="L14" s="14">
        <v>20</v>
      </c>
      <c r="M14" s="20" t="s">
        <v>336</v>
      </c>
      <c r="N14" s="14">
        <v>20</v>
      </c>
      <c r="O14" s="21"/>
      <c r="P14" s="14"/>
      <c r="Q14" s="21"/>
      <c r="R14" s="14"/>
    </row>
    <row r="15" spans="3:18" x14ac:dyDescent="0.35">
      <c r="C15" s="44" t="s">
        <v>113</v>
      </c>
      <c r="D15" s="46"/>
      <c r="E15" s="21"/>
      <c r="F15" s="14"/>
      <c r="G15" s="21"/>
      <c r="H15" s="14"/>
      <c r="I15" s="21"/>
      <c r="J15" s="14"/>
      <c r="K15" s="21"/>
      <c r="L15" s="14"/>
      <c r="M15" s="21"/>
      <c r="N15" s="14"/>
      <c r="O15" s="21"/>
      <c r="P15" s="14"/>
      <c r="Q15" s="21"/>
      <c r="R15" s="14"/>
    </row>
    <row r="16" spans="3:18" ht="65" x14ac:dyDescent="0.35">
      <c r="C16" s="18">
        <v>1</v>
      </c>
      <c r="D16" s="24" t="s">
        <v>114</v>
      </c>
      <c r="E16" s="20" t="s">
        <v>339</v>
      </c>
      <c r="F16" s="14">
        <v>25</v>
      </c>
      <c r="G16" s="20" t="s">
        <v>340</v>
      </c>
      <c r="H16" s="14">
        <v>25</v>
      </c>
      <c r="I16" s="20" t="s">
        <v>341</v>
      </c>
      <c r="J16" s="14">
        <v>25</v>
      </c>
      <c r="K16" s="20" t="s">
        <v>342</v>
      </c>
      <c r="L16" s="14">
        <v>25</v>
      </c>
      <c r="M16" s="21"/>
      <c r="N16" s="14"/>
      <c r="O16" s="21"/>
      <c r="P16" s="14"/>
      <c r="Q16" s="21"/>
      <c r="R16" s="14"/>
    </row>
    <row r="17" spans="3:18" ht="39" x14ac:dyDescent="0.35">
      <c r="C17" s="18">
        <v>2</v>
      </c>
      <c r="D17" s="24" t="s">
        <v>116</v>
      </c>
      <c r="E17" s="20" t="s">
        <v>343</v>
      </c>
      <c r="F17" s="14">
        <v>20</v>
      </c>
      <c r="G17" s="20" t="s">
        <v>344</v>
      </c>
      <c r="H17" s="14">
        <v>20</v>
      </c>
      <c r="I17" s="20" t="s">
        <v>345</v>
      </c>
      <c r="J17" s="14">
        <v>20</v>
      </c>
      <c r="K17" s="20" t="s">
        <v>346</v>
      </c>
      <c r="L17" s="14">
        <v>20</v>
      </c>
      <c r="M17" s="20" t="s">
        <v>347</v>
      </c>
      <c r="N17" s="14">
        <v>20</v>
      </c>
      <c r="O17" s="21"/>
      <c r="P17" s="14"/>
      <c r="Q17" s="21"/>
      <c r="R17" s="14"/>
    </row>
    <row r="18" spans="3:18" ht="39" x14ac:dyDescent="0.35">
      <c r="C18" s="18">
        <v>3</v>
      </c>
      <c r="D18" s="24" t="s">
        <v>118</v>
      </c>
      <c r="E18" s="20" t="s">
        <v>349</v>
      </c>
      <c r="F18" s="14">
        <v>20</v>
      </c>
      <c r="G18" s="20" t="s">
        <v>350</v>
      </c>
      <c r="H18" s="14">
        <v>20</v>
      </c>
      <c r="I18" s="20" t="s">
        <v>351</v>
      </c>
      <c r="J18" s="14">
        <v>20</v>
      </c>
      <c r="K18" s="20" t="s">
        <v>352</v>
      </c>
      <c r="L18" s="14">
        <v>20</v>
      </c>
      <c r="M18" s="22" t="s">
        <v>353</v>
      </c>
      <c r="N18" s="14">
        <v>20</v>
      </c>
      <c r="O18" s="21"/>
      <c r="P18" s="14"/>
      <c r="Q18" s="21"/>
      <c r="R18" s="14"/>
    </row>
    <row r="19" spans="3:18" ht="39" x14ac:dyDescent="0.35">
      <c r="C19" s="18">
        <v>4</v>
      </c>
      <c r="D19" s="24" t="s">
        <v>120</v>
      </c>
      <c r="E19" s="20" t="s">
        <v>354</v>
      </c>
      <c r="F19" s="14">
        <v>20</v>
      </c>
      <c r="G19" s="20" t="s">
        <v>355</v>
      </c>
      <c r="H19" s="14">
        <v>20</v>
      </c>
      <c r="I19" s="20" t="s">
        <v>356</v>
      </c>
      <c r="J19" s="14">
        <v>20</v>
      </c>
      <c r="K19" s="20" t="s">
        <v>357</v>
      </c>
      <c r="L19" s="14">
        <v>20</v>
      </c>
      <c r="M19" s="20" t="s">
        <v>358</v>
      </c>
      <c r="N19" s="14">
        <v>20</v>
      </c>
      <c r="O19" s="21"/>
      <c r="P19" s="14"/>
      <c r="Q19" s="21"/>
      <c r="R19" s="14"/>
    </row>
    <row r="20" spans="3:18" ht="26" x14ac:dyDescent="0.35">
      <c r="C20" s="18">
        <v>5</v>
      </c>
      <c r="D20" s="24" t="s">
        <v>122</v>
      </c>
      <c r="E20" s="20" t="s">
        <v>359</v>
      </c>
      <c r="F20" s="14">
        <v>20</v>
      </c>
      <c r="G20" s="20" t="s">
        <v>360</v>
      </c>
      <c r="H20" s="14">
        <v>20</v>
      </c>
      <c r="I20" s="20" t="s">
        <v>361</v>
      </c>
      <c r="J20" s="14">
        <v>20</v>
      </c>
      <c r="K20" s="20" t="s">
        <v>362</v>
      </c>
      <c r="L20" s="14">
        <v>20</v>
      </c>
      <c r="M20" s="20" t="s">
        <v>363</v>
      </c>
      <c r="N20" s="14">
        <v>20</v>
      </c>
      <c r="O20" s="21"/>
      <c r="P20" s="14"/>
      <c r="Q20" s="21"/>
      <c r="R20" s="14"/>
    </row>
    <row r="21" spans="3:18" ht="52" x14ac:dyDescent="0.35">
      <c r="C21" s="18">
        <v>6</v>
      </c>
      <c r="D21" s="24" t="s">
        <v>364</v>
      </c>
      <c r="E21" s="20" t="s">
        <v>266</v>
      </c>
      <c r="F21" s="14">
        <v>25</v>
      </c>
      <c r="G21" s="20" t="s">
        <v>267</v>
      </c>
      <c r="H21" s="14">
        <v>25</v>
      </c>
      <c r="I21" s="20" t="s">
        <v>268</v>
      </c>
      <c r="J21" s="14">
        <v>25</v>
      </c>
      <c r="K21" s="20" t="s">
        <v>269</v>
      </c>
      <c r="L21" s="14">
        <v>25</v>
      </c>
      <c r="M21" s="20"/>
      <c r="N21" s="14"/>
      <c r="O21" s="21"/>
      <c r="P21" s="14"/>
      <c r="Q21" s="21"/>
      <c r="R21" s="14"/>
    </row>
    <row r="22" spans="3:18" ht="52" x14ac:dyDescent="0.35">
      <c r="C22" s="18">
        <v>7</v>
      </c>
      <c r="D22" s="24" t="s">
        <v>126</v>
      </c>
      <c r="E22" s="20" t="s">
        <v>365</v>
      </c>
      <c r="F22" s="14">
        <v>25</v>
      </c>
      <c r="G22" s="20" t="s">
        <v>366</v>
      </c>
      <c r="H22" s="14">
        <v>25</v>
      </c>
      <c r="I22" s="20" t="s">
        <v>367</v>
      </c>
      <c r="J22" s="14">
        <v>25</v>
      </c>
      <c r="K22" s="20" t="s">
        <v>368</v>
      </c>
      <c r="L22" s="14">
        <v>25</v>
      </c>
      <c r="M22" s="21"/>
      <c r="N22" s="14"/>
      <c r="O22" s="21"/>
      <c r="P22" s="14"/>
      <c r="Q22" s="21"/>
      <c r="R22" s="14"/>
    </row>
    <row r="23" spans="3:18" ht="39" x14ac:dyDescent="0.35">
      <c r="C23" s="18">
        <v>8</v>
      </c>
      <c r="D23" s="24" t="s">
        <v>128</v>
      </c>
      <c r="E23" s="20" t="s">
        <v>369</v>
      </c>
      <c r="F23" s="14">
        <v>20</v>
      </c>
      <c r="G23" s="20" t="s">
        <v>370</v>
      </c>
      <c r="H23" s="14">
        <v>20</v>
      </c>
      <c r="I23" s="20" t="s">
        <v>371</v>
      </c>
      <c r="J23" s="14">
        <v>20</v>
      </c>
      <c r="K23" s="20" t="s">
        <v>372</v>
      </c>
      <c r="L23" s="14">
        <v>20</v>
      </c>
      <c r="M23" s="20" t="s">
        <v>373</v>
      </c>
      <c r="N23" s="14">
        <v>20</v>
      </c>
      <c r="O23" s="21"/>
      <c r="P23" s="14"/>
      <c r="Q23" s="21"/>
      <c r="R23" s="14"/>
    </row>
    <row r="24" spans="3:18" ht="78" x14ac:dyDescent="0.35">
      <c r="C24" s="18">
        <v>9</v>
      </c>
      <c r="D24" s="24" t="s">
        <v>130</v>
      </c>
      <c r="E24" s="20" t="s">
        <v>374</v>
      </c>
      <c r="F24" s="14">
        <v>20</v>
      </c>
      <c r="G24" s="20" t="s">
        <v>375</v>
      </c>
      <c r="H24" s="14">
        <v>20</v>
      </c>
      <c r="I24" s="20" t="s">
        <v>377</v>
      </c>
      <c r="J24" s="14">
        <v>20</v>
      </c>
      <c r="K24" s="20" t="s">
        <v>378</v>
      </c>
      <c r="L24" s="14">
        <v>20</v>
      </c>
      <c r="M24" s="20" t="s">
        <v>376</v>
      </c>
      <c r="N24" s="14">
        <v>20</v>
      </c>
      <c r="O24" s="21"/>
      <c r="P24" s="14"/>
      <c r="Q24" s="21"/>
      <c r="R24" s="14"/>
    </row>
    <row r="25" spans="3:18" x14ac:dyDescent="0.35">
      <c r="C25" s="44" t="s">
        <v>132</v>
      </c>
      <c r="D25" s="46"/>
      <c r="E25" s="21"/>
      <c r="F25" s="14"/>
      <c r="G25" s="21"/>
      <c r="H25" s="14"/>
      <c r="I25" s="21"/>
      <c r="J25" s="14"/>
      <c r="K25" s="21"/>
      <c r="L25" s="14"/>
      <c r="M25" s="21"/>
      <c r="N25" s="14"/>
      <c r="O25" s="21"/>
      <c r="P25" s="14"/>
      <c r="Q25" s="21"/>
      <c r="R25" s="14"/>
    </row>
    <row r="26" spans="3:18" ht="65" x14ac:dyDescent="0.35">
      <c r="C26" s="18">
        <v>1</v>
      </c>
      <c r="D26" s="23" t="s">
        <v>133</v>
      </c>
      <c r="E26" s="20" t="s">
        <v>270</v>
      </c>
      <c r="F26" s="14">
        <v>30</v>
      </c>
      <c r="G26" s="20" t="s">
        <v>271</v>
      </c>
      <c r="H26" s="14">
        <v>25</v>
      </c>
      <c r="I26" s="20" t="s">
        <v>272</v>
      </c>
      <c r="J26" s="14">
        <v>25</v>
      </c>
      <c r="K26" s="20" t="s">
        <v>272</v>
      </c>
      <c r="L26" s="14">
        <v>20</v>
      </c>
      <c r="M26" s="21"/>
      <c r="N26" s="14"/>
      <c r="O26" s="21"/>
      <c r="P26" s="14"/>
      <c r="Q26" s="21"/>
      <c r="R26" s="14"/>
    </row>
    <row r="27" spans="3:18" ht="39" x14ac:dyDescent="0.35">
      <c r="C27" s="18">
        <v>2</v>
      </c>
      <c r="D27" s="23" t="s">
        <v>135</v>
      </c>
      <c r="E27" s="20" t="s">
        <v>380</v>
      </c>
      <c r="F27" s="14">
        <v>20</v>
      </c>
      <c r="G27" s="20" t="s">
        <v>381</v>
      </c>
      <c r="H27" s="14">
        <v>20</v>
      </c>
      <c r="I27" s="20" t="s">
        <v>382</v>
      </c>
      <c r="J27" s="14">
        <v>20</v>
      </c>
      <c r="K27" s="20" t="s">
        <v>383</v>
      </c>
      <c r="L27" s="14">
        <v>20</v>
      </c>
      <c r="M27" s="20" t="s">
        <v>384</v>
      </c>
      <c r="N27" s="14">
        <v>20</v>
      </c>
      <c r="O27" s="21"/>
      <c r="P27" s="14"/>
      <c r="Q27" s="21"/>
      <c r="R27" s="14"/>
    </row>
    <row r="28" spans="3:18" ht="39" x14ac:dyDescent="0.35">
      <c r="C28" s="18">
        <v>3</v>
      </c>
      <c r="D28" s="23" t="s">
        <v>136</v>
      </c>
      <c r="E28" s="20" t="s">
        <v>385</v>
      </c>
      <c r="F28" s="14">
        <v>20</v>
      </c>
      <c r="G28" s="20" t="s">
        <v>386</v>
      </c>
      <c r="H28" s="14">
        <v>20</v>
      </c>
      <c r="I28" s="20" t="s">
        <v>387</v>
      </c>
      <c r="J28" s="14">
        <v>20</v>
      </c>
      <c r="K28" s="20" t="s">
        <v>388</v>
      </c>
      <c r="L28" s="14">
        <v>20</v>
      </c>
      <c r="M28" s="22" t="s">
        <v>389</v>
      </c>
      <c r="N28" s="14">
        <v>20</v>
      </c>
      <c r="O28" s="21"/>
      <c r="P28" s="14"/>
      <c r="Q28" s="21"/>
      <c r="R28" s="14"/>
    </row>
    <row r="29" spans="3:18" ht="39" x14ac:dyDescent="0.35">
      <c r="C29" s="18">
        <v>4</v>
      </c>
      <c r="D29" s="23" t="s">
        <v>137</v>
      </c>
      <c r="E29" s="20" t="s">
        <v>390</v>
      </c>
      <c r="F29" s="14">
        <v>20</v>
      </c>
      <c r="G29" s="20" t="s">
        <v>391</v>
      </c>
      <c r="H29" s="14">
        <v>20</v>
      </c>
      <c r="I29" s="20" t="s">
        <v>392</v>
      </c>
      <c r="J29" s="14">
        <v>20</v>
      </c>
      <c r="K29" s="20" t="s">
        <v>393</v>
      </c>
      <c r="L29" s="14">
        <v>20</v>
      </c>
      <c r="M29" s="20" t="s">
        <v>394</v>
      </c>
      <c r="N29" s="14">
        <v>20</v>
      </c>
      <c r="O29" s="21"/>
      <c r="P29" s="14"/>
      <c r="Q29" s="21"/>
      <c r="R29" s="14"/>
    </row>
    <row r="30" spans="3:18" ht="26" x14ac:dyDescent="0.35">
      <c r="C30" s="18">
        <v>5</v>
      </c>
      <c r="D30" s="23" t="s">
        <v>139</v>
      </c>
      <c r="E30" s="20" t="s">
        <v>396</v>
      </c>
      <c r="F30" s="14">
        <v>20</v>
      </c>
      <c r="G30" s="20" t="s">
        <v>397</v>
      </c>
      <c r="H30" s="14">
        <v>20</v>
      </c>
      <c r="I30" s="20" t="s">
        <v>398</v>
      </c>
      <c r="J30" s="14">
        <v>20</v>
      </c>
      <c r="K30" s="20" t="s">
        <v>399</v>
      </c>
      <c r="L30" s="14">
        <v>20</v>
      </c>
      <c r="M30" s="20" t="s">
        <v>400</v>
      </c>
      <c r="N30" s="14">
        <v>20</v>
      </c>
      <c r="O30" s="21"/>
      <c r="P30" s="14"/>
      <c r="Q30" s="21"/>
      <c r="R30" s="14"/>
    </row>
    <row r="31" spans="3:18" ht="39" x14ac:dyDescent="0.35">
      <c r="C31" s="18">
        <v>6</v>
      </c>
      <c r="D31" s="23" t="s">
        <v>401</v>
      </c>
      <c r="E31" s="20" t="s">
        <v>234</v>
      </c>
      <c r="F31" s="14">
        <v>20</v>
      </c>
      <c r="G31" s="20" t="s">
        <v>403</v>
      </c>
      <c r="H31" s="14">
        <v>20</v>
      </c>
      <c r="I31" s="20" t="s">
        <v>235</v>
      </c>
      <c r="J31" s="14">
        <v>20</v>
      </c>
      <c r="K31" s="20" t="s">
        <v>236</v>
      </c>
      <c r="L31" s="14">
        <v>20</v>
      </c>
      <c r="M31" s="20" t="s">
        <v>237</v>
      </c>
      <c r="N31" s="14">
        <v>20</v>
      </c>
      <c r="O31" s="21"/>
      <c r="P31" s="14"/>
      <c r="Q31" s="21"/>
      <c r="R31" s="14"/>
    </row>
    <row r="32" spans="3:18" ht="26" x14ac:dyDescent="0.35">
      <c r="C32" s="18">
        <v>7</v>
      </c>
      <c r="D32" s="23" t="s">
        <v>142</v>
      </c>
      <c r="E32" s="20" t="s">
        <v>402</v>
      </c>
      <c r="F32" s="14">
        <v>20</v>
      </c>
      <c r="G32" s="20" t="s">
        <v>404</v>
      </c>
      <c r="H32" s="14">
        <v>20</v>
      </c>
      <c r="I32" s="20" t="s">
        <v>405</v>
      </c>
      <c r="J32" s="14">
        <v>20</v>
      </c>
      <c r="K32" s="20" t="s">
        <v>406</v>
      </c>
      <c r="L32" s="14">
        <v>20</v>
      </c>
      <c r="M32" s="20" t="s">
        <v>407</v>
      </c>
      <c r="N32" s="14">
        <v>20</v>
      </c>
      <c r="O32" s="21"/>
      <c r="P32" s="14"/>
      <c r="Q32" s="21"/>
      <c r="R32" s="14"/>
    </row>
    <row r="33" spans="3:18" ht="52" x14ac:dyDescent="0.35">
      <c r="C33" s="18">
        <v>8</v>
      </c>
      <c r="D33" s="23" t="s">
        <v>144</v>
      </c>
      <c r="E33" s="20" t="s">
        <v>408</v>
      </c>
      <c r="F33" s="14">
        <v>20</v>
      </c>
      <c r="G33" s="20" t="s">
        <v>409</v>
      </c>
      <c r="H33" s="14">
        <v>20</v>
      </c>
      <c r="I33" s="20" t="s">
        <v>410</v>
      </c>
      <c r="J33" s="14">
        <v>20</v>
      </c>
      <c r="K33" s="20" t="s">
        <v>411</v>
      </c>
      <c r="L33" s="14">
        <v>20</v>
      </c>
      <c r="M33" s="20" t="s">
        <v>412</v>
      </c>
      <c r="N33" s="14">
        <v>20</v>
      </c>
      <c r="O33" s="21"/>
      <c r="P33" s="14"/>
      <c r="Q33" s="21"/>
      <c r="R33" s="14"/>
    </row>
    <row r="34" spans="3:18" ht="39" x14ac:dyDescent="0.35">
      <c r="C34" s="18">
        <v>9</v>
      </c>
      <c r="D34" s="23" t="s">
        <v>146</v>
      </c>
      <c r="E34" s="20" t="s">
        <v>413</v>
      </c>
      <c r="F34" s="14">
        <v>20</v>
      </c>
      <c r="G34" s="20" t="s">
        <v>414</v>
      </c>
      <c r="H34" s="14">
        <v>20</v>
      </c>
      <c r="I34" s="20" t="s">
        <v>415</v>
      </c>
      <c r="J34" s="14">
        <v>20</v>
      </c>
      <c r="K34" s="20" t="s">
        <v>416</v>
      </c>
      <c r="L34" s="14">
        <v>20</v>
      </c>
      <c r="M34" s="20" t="s">
        <v>417</v>
      </c>
      <c r="N34" s="14">
        <v>20</v>
      </c>
      <c r="O34" s="21"/>
      <c r="P34" s="14"/>
      <c r="Q34" s="21"/>
      <c r="R34" s="14"/>
    </row>
    <row r="35" spans="3:18" ht="39" x14ac:dyDescent="0.35">
      <c r="C35" s="18">
        <v>10</v>
      </c>
      <c r="D35" s="23" t="s">
        <v>148</v>
      </c>
      <c r="E35" s="20" t="s">
        <v>418</v>
      </c>
      <c r="F35" s="14">
        <v>20</v>
      </c>
      <c r="G35" s="20" t="s">
        <v>419</v>
      </c>
      <c r="H35" s="14">
        <v>20</v>
      </c>
      <c r="I35" s="20" t="s">
        <v>420</v>
      </c>
      <c r="J35" s="14">
        <v>20</v>
      </c>
      <c r="K35" s="20" t="s">
        <v>421</v>
      </c>
      <c r="L35" s="14">
        <v>20</v>
      </c>
      <c r="M35" s="20" t="s">
        <v>422</v>
      </c>
      <c r="N35" s="14">
        <v>20</v>
      </c>
      <c r="O35" s="21"/>
      <c r="P35" s="14"/>
      <c r="Q35" s="21"/>
      <c r="R35" s="14"/>
    </row>
    <row r="36" spans="3:18" ht="39" x14ac:dyDescent="0.35">
      <c r="C36" s="18">
        <v>11</v>
      </c>
      <c r="D36" s="23" t="s">
        <v>150</v>
      </c>
      <c r="E36" s="20" t="s">
        <v>423</v>
      </c>
      <c r="F36" s="14">
        <v>20</v>
      </c>
      <c r="G36" s="20" t="s">
        <v>424</v>
      </c>
      <c r="H36" s="14">
        <v>20</v>
      </c>
      <c r="I36" s="20" t="s">
        <v>425</v>
      </c>
      <c r="J36" s="14">
        <v>20</v>
      </c>
      <c r="K36" s="20" t="s">
        <v>426</v>
      </c>
      <c r="L36" s="14">
        <v>20</v>
      </c>
      <c r="M36" s="20" t="s">
        <v>427</v>
      </c>
      <c r="N36" s="14">
        <v>20</v>
      </c>
      <c r="O36" s="21"/>
      <c r="P36" s="14"/>
      <c r="Q36" s="21"/>
      <c r="R36" s="14"/>
    </row>
    <row r="37" spans="3:18" x14ac:dyDescent="0.35">
      <c r="C37" s="44" t="s">
        <v>152</v>
      </c>
      <c r="D37" s="46"/>
      <c r="E37" s="21"/>
      <c r="F37" s="14"/>
      <c r="G37" s="21"/>
      <c r="H37" s="14"/>
      <c r="I37" s="21"/>
      <c r="J37" s="14"/>
      <c r="K37" s="21"/>
      <c r="L37" s="14"/>
      <c r="M37" s="21"/>
      <c r="N37" s="14"/>
      <c r="O37" s="21"/>
      <c r="P37" s="14"/>
      <c r="Q37" s="21"/>
      <c r="R37" s="14"/>
    </row>
    <row r="38" spans="3:18" ht="97" customHeight="1" x14ac:dyDescent="0.35">
      <c r="C38" s="18">
        <v>1</v>
      </c>
      <c r="D38" s="23" t="s">
        <v>153</v>
      </c>
      <c r="E38" s="20" t="s">
        <v>273</v>
      </c>
      <c r="F38" s="14">
        <v>25</v>
      </c>
      <c r="G38" s="20" t="s">
        <v>274</v>
      </c>
      <c r="H38" s="14">
        <v>25</v>
      </c>
      <c r="I38" s="20" t="s">
        <v>275</v>
      </c>
      <c r="J38" s="14">
        <v>25</v>
      </c>
      <c r="K38" s="20" t="s">
        <v>276</v>
      </c>
      <c r="L38" s="14">
        <v>25</v>
      </c>
      <c r="M38" s="21"/>
      <c r="N38" s="14"/>
      <c r="O38" s="21"/>
      <c r="P38" s="14"/>
      <c r="Q38" s="21"/>
      <c r="R38" s="14"/>
    </row>
    <row r="39" spans="3:18" ht="78" x14ac:dyDescent="0.35">
      <c r="C39" s="18">
        <v>2</v>
      </c>
      <c r="D39" s="23" t="s">
        <v>155</v>
      </c>
      <c r="E39" s="20" t="s">
        <v>429</v>
      </c>
      <c r="F39" s="14">
        <v>20</v>
      </c>
      <c r="G39" s="20" t="s">
        <v>428</v>
      </c>
      <c r="H39" s="14">
        <v>20</v>
      </c>
      <c r="I39" s="20" t="s">
        <v>430</v>
      </c>
      <c r="J39" s="14">
        <v>20</v>
      </c>
      <c r="K39" s="20" t="s">
        <v>431</v>
      </c>
      <c r="L39" s="14">
        <v>20</v>
      </c>
      <c r="M39" s="20" t="s">
        <v>432</v>
      </c>
      <c r="N39" s="14">
        <v>20</v>
      </c>
      <c r="O39" s="21"/>
      <c r="P39" s="14"/>
      <c r="Q39" s="21"/>
      <c r="R39" s="14"/>
    </row>
    <row r="40" spans="3:18" ht="26" x14ac:dyDescent="0.35">
      <c r="C40" s="18">
        <v>3</v>
      </c>
      <c r="D40" s="23" t="s">
        <v>157</v>
      </c>
      <c r="E40" s="20" t="s">
        <v>433</v>
      </c>
      <c r="F40" s="14">
        <v>20</v>
      </c>
      <c r="G40" s="20" t="s">
        <v>434</v>
      </c>
      <c r="H40" s="14">
        <v>20</v>
      </c>
      <c r="I40" s="20" t="s">
        <v>435</v>
      </c>
      <c r="J40" s="14">
        <v>20</v>
      </c>
      <c r="K40" s="20" t="s">
        <v>436</v>
      </c>
      <c r="L40" s="14">
        <v>20</v>
      </c>
      <c r="M40" s="20" t="s">
        <v>437</v>
      </c>
      <c r="N40" s="14">
        <v>20</v>
      </c>
      <c r="O40" s="21"/>
      <c r="P40" s="14"/>
      <c r="Q40" s="21"/>
      <c r="R40" s="14"/>
    </row>
    <row r="41" spans="3:18" ht="39" x14ac:dyDescent="0.35">
      <c r="C41" s="18">
        <v>4</v>
      </c>
      <c r="D41" s="23" t="s">
        <v>159</v>
      </c>
      <c r="E41" s="20" t="s">
        <v>438</v>
      </c>
      <c r="F41" s="14">
        <v>20</v>
      </c>
      <c r="G41" s="20" t="s">
        <v>439</v>
      </c>
      <c r="H41" s="14">
        <v>20</v>
      </c>
      <c r="I41" s="20" t="s">
        <v>440</v>
      </c>
      <c r="J41" s="14">
        <v>20</v>
      </c>
      <c r="K41" s="20" t="s">
        <v>441</v>
      </c>
      <c r="L41" s="14">
        <v>20</v>
      </c>
      <c r="M41" s="20" t="s">
        <v>442</v>
      </c>
      <c r="N41" s="14">
        <v>20</v>
      </c>
      <c r="O41" s="21"/>
      <c r="P41" s="14"/>
      <c r="Q41" s="21"/>
      <c r="R41" s="14"/>
    </row>
    <row r="42" spans="3:18" ht="39" x14ac:dyDescent="0.35">
      <c r="C42" s="18">
        <v>5</v>
      </c>
      <c r="D42" s="23" t="s">
        <v>161</v>
      </c>
      <c r="E42" s="20" t="s">
        <v>443</v>
      </c>
      <c r="F42" s="14">
        <v>20</v>
      </c>
      <c r="G42" s="20" t="s">
        <v>444</v>
      </c>
      <c r="H42" s="14">
        <v>20</v>
      </c>
      <c r="I42" s="20" t="s">
        <v>445</v>
      </c>
      <c r="J42" s="14">
        <v>20</v>
      </c>
      <c r="K42" s="20" t="s">
        <v>446</v>
      </c>
      <c r="L42" s="14">
        <v>20</v>
      </c>
      <c r="M42" s="20" t="s">
        <v>447</v>
      </c>
      <c r="N42" s="14">
        <v>20</v>
      </c>
      <c r="O42" s="21"/>
      <c r="P42" s="14"/>
      <c r="Q42" s="21"/>
      <c r="R42" s="14"/>
    </row>
    <row r="43" spans="3:18" ht="26" x14ac:dyDescent="0.35">
      <c r="C43" s="18">
        <v>6</v>
      </c>
      <c r="D43" s="23" t="s">
        <v>163</v>
      </c>
      <c r="E43" s="20" t="s">
        <v>448</v>
      </c>
      <c r="F43" s="14">
        <v>20</v>
      </c>
      <c r="G43" s="20" t="s">
        <v>449</v>
      </c>
      <c r="H43" s="14">
        <v>20</v>
      </c>
      <c r="I43" s="20" t="s">
        <v>450</v>
      </c>
      <c r="J43" s="14">
        <v>20</v>
      </c>
      <c r="K43" s="20" t="s">
        <v>451</v>
      </c>
      <c r="L43" s="14">
        <v>20</v>
      </c>
      <c r="M43" s="20" t="s">
        <v>452</v>
      </c>
      <c r="N43" s="14">
        <v>20</v>
      </c>
      <c r="O43" s="21"/>
      <c r="P43" s="14"/>
      <c r="Q43" s="21"/>
      <c r="R43" s="14"/>
    </row>
    <row r="44" spans="3:18" ht="39" x14ac:dyDescent="0.35">
      <c r="C44" s="18">
        <v>7</v>
      </c>
      <c r="D44" s="23" t="s">
        <v>165</v>
      </c>
      <c r="E44" s="20" t="s">
        <v>453</v>
      </c>
      <c r="F44" s="14">
        <v>20</v>
      </c>
      <c r="G44" s="20" t="s">
        <v>454</v>
      </c>
      <c r="H44" s="14">
        <v>20</v>
      </c>
      <c r="I44" s="20" t="s">
        <v>455</v>
      </c>
      <c r="J44" s="14">
        <v>20</v>
      </c>
      <c r="K44" s="20" t="s">
        <v>456</v>
      </c>
      <c r="L44" s="14">
        <v>20</v>
      </c>
      <c r="M44" s="20" t="s">
        <v>457</v>
      </c>
      <c r="N44" s="14">
        <v>20</v>
      </c>
      <c r="O44" s="21"/>
      <c r="P44" s="14"/>
      <c r="Q44" s="21"/>
      <c r="R44" s="14"/>
    </row>
    <row r="45" spans="3:18" ht="39" x14ac:dyDescent="0.35">
      <c r="C45" s="18">
        <v>8</v>
      </c>
      <c r="D45" s="23" t="s">
        <v>167</v>
      </c>
      <c r="E45" s="20" t="s">
        <v>459</v>
      </c>
      <c r="F45" s="14">
        <v>20</v>
      </c>
      <c r="G45" s="20" t="s">
        <v>460</v>
      </c>
      <c r="H45" s="14">
        <v>20</v>
      </c>
      <c r="I45" s="20" t="s">
        <v>461</v>
      </c>
      <c r="J45" s="14">
        <v>20</v>
      </c>
      <c r="K45" s="20" t="s">
        <v>462</v>
      </c>
      <c r="L45" s="14">
        <v>20</v>
      </c>
      <c r="M45" s="20" t="s">
        <v>463</v>
      </c>
      <c r="N45" s="14">
        <v>20</v>
      </c>
      <c r="O45" s="21"/>
      <c r="P45" s="14"/>
      <c r="Q45" s="21"/>
      <c r="R45" s="14"/>
    </row>
    <row r="46" spans="3:18" ht="39" x14ac:dyDescent="0.35">
      <c r="C46" s="18">
        <v>9</v>
      </c>
      <c r="D46" s="23" t="s">
        <v>169</v>
      </c>
      <c r="E46" s="20" t="s">
        <v>465</v>
      </c>
      <c r="F46" s="14">
        <v>20</v>
      </c>
      <c r="G46" s="20" t="s">
        <v>466</v>
      </c>
      <c r="H46" s="14">
        <v>20</v>
      </c>
      <c r="I46" s="20" t="s">
        <v>467</v>
      </c>
      <c r="J46" s="14">
        <v>20</v>
      </c>
      <c r="K46" s="20" t="s">
        <v>468</v>
      </c>
      <c r="L46" s="14">
        <v>20</v>
      </c>
      <c r="M46" s="20" t="s">
        <v>469</v>
      </c>
      <c r="N46" s="14">
        <v>20</v>
      </c>
      <c r="O46" s="21"/>
      <c r="P46" s="14"/>
      <c r="Q46" s="21"/>
      <c r="R46" s="14"/>
    </row>
    <row r="47" spans="3:18" ht="26" x14ac:dyDescent="0.35">
      <c r="C47" s="18">
        <v>10</v>
      </c>
      <c r="D47" s="23" t="s">
        <v>171</v>
      </c>
      <c r="E47" s="20" t="s">
        <v>470</v>
      </c>
      <c r="F47" s="14">
        <v>20</v>
      </c>
      <c r="G47" s="20" t="s">
        <v>471</v>
      </c>
      <c r="H47" s="14">
        <v>20</v>
      </c>
      <c r="I47" s="20" t="s">
        <v>472</v>
      </c>
      <c r="J47" s="14">
        <v>20</v>
      </c>
      <c r="K47" s="20" t="s">
        <v>473</v>
      </c>
      <c r="L47" s="14">
        <v>20</v>
      </c>
      <c r="M47" s="20" t="s">
        <v>474</v>
      </c>
      <c r="N47" s="14">
        <v>20</v>
      </c>
      <c r="O47" s="21"/>
      <c r="P47" s="14"/>
      <c r="Q47" s="21"/>
      <c r="R47" s="14"/>
    </row>
    <row r="48" spans="3:18" x14ac:dyDescent="0.35">
      <c r="C48" s="44" t="s">
        <v>173</v>
      </c>
      <c r="D48" s="46"/>
      <c r="E48" s="21"/>
      <c r="F48" s="14"/>
      <c r="G48" s="21"/>
      <c r="H48" s="14"/>
      <c r="I48" s="21"/>
      <c r="J48" s="14"/>
      <c r="K48" s="21"/>
      <c r="L48" s="14"/>
      <c r="M48" s="21"/>
      <c r="N48" s="14"/>
      <c r="O48" s="21"/>
      <c r="P48" s="14"/>
      <c r="Q48" s="21"/>
      <c r="R48" s="14"/>
    </row>
    <row r="49" spans="3:18" ht="39" x14ac:dyDescent="0.35">
      <c r="C49" s="18">
        <v>1</v>
      </c>
      <c r="D49" s="23" t="s">
        <v>174</v>
      </c>
      <c r="E49" s="20" t="s">
        <v>479</v>
      </c>
      <c r="F49" s="14">
        <v>20</v>
      </c>
      <c r="G49" s="20" t="s">
        <v>475</v>
      </c>
      <c r="H49" s="14">
        <v>20</v>
      </c>
      <c r="I49" s="20" t="s">
        <v>476</v>
      </c>
      <c r="J49" s="14">
        <v>20</v>
      </c>
      <c r="K49" s="20" t="s">
        <v>477</v>
      </c>
      <c r="L49" s="14">
        <v>20</v>
      </c>
      <c r="M49" s="20" t="s">
        <v>478</v>
      </c>
      <c r="N49" s="14">
        <v>20</v>
      </c>
      <c r="O49" s="21"/>
      <c r="P49" s="14"/>
      <c r="Q49" s="21"/>
      <c r="R49" s="14"/>
    </row>
    <row r="50" spans="3:18" ht="39" x14ac:dyDescent="0.35">
      <c r="C50" s="18">
        <v>2</v>
      </c>
      <c r="D50" s="23" t="s">
        <v>176</v>
      </c>
      <c r="E50" s="20" t="s">
        <v>480</v>
      </c>
      <c r="F50" s="14">
        <v>20</v>
      </c>
      <c r="G50" s="20" t="s">
        <v>481</v>
      </c>
      <c r="H50" s="14">
        <v>20</v>
      </c>
      <c r="I50" s="20" t="s">
        <v>482</v>
      </c>
      <c r="J50" s="14">
        <v>20</v>
      </c>
      <c r="K50" s="20" t="s">
        <v>483</v>
      </c>
      <c r="L50" s="14">
        <v>20</v>
      </c>
      <c r="M50" s="20" t="s">
        <v>484</v>
      </c>
      <c r="N50" s="14">
        <v>20</v>
      </c>
      <c r="O50" s="21"/>
      <c r="P50" s="14"/>
      <c r="Q50" s="21"/>
      <c r="R50" s="14"/>
    </row>
    <row r="51" spans="3:18" ht="39" x14ac:dyDescent="0.35">
      <c r="C51" s="18">
        <v>3</v>
      </c>
      <c r="D51" s="23" t="s">
        <v>178</v>
      </c>
      <c r="E51" s="20" t="s">
        <v>485</v>
      </c>
      <c r="F51" s="14">
        <v>20</v>
      </c>
      <c r="G51" s="20" t="s">
        <v>486</v>
      </c>
      <c r="H51" s="14">
        <v>20</v>
      </c>
      <c r="I51" s="20" t="s">
        <v>487</v>
      </c>
      <c r="J51" s="14">
        <v>20</v>
      </c>
      <c r="K51" s="20" t="s">
        <v>488</v>
      </c>
      <c r="L51" s="14">
        <v>20</v>
      </c>
      <c r="M51" s="20" t="s">
        <v>489</v>
      </c>
      <c r="N51" s="14">
        <v>20</v>
      </c>
      <c r="O51" s="21"/>
      <c r="P51" s="14"/>
      <c r="Q51" s="21"/>
      <c r="R51" s="14"/>
    </row>
    <row r="52" spans="3:18" ht="39" x14ac:dyDescent="0.35">
      <c r="C52" s="18">
        <v>4</v>
      </c>
      <c r="D52" s="23" t="s">
        <v>180</v>
      </c>
      <c r="E52" s="20" t="s">
        <v>490</v>
      </c>
      <c r="F52" s="14">
        <v>20</v>
      </c>
      <c r="G52" s="20" t="s">
        <v>491</v>
      </c>
      <c r="H52" s="14">
        <v>20</v>
      </c>
      <c r="I52" s="20" t="s">
        <v>492</v>
      </c>
      <c r="J52" s="14">
        <v>20</v>
      </c>
      <c r="K52" s="20" t="s">
        <v>493</v>
      </c>
      <c r="L52" s="14">
        <v>20</v>
      </c>
      <c r="M52" s="20" t="s">
        <v>494</v>
      </c>
      <c r="N52" s="14">
        <v>20</v>
      </c>
      <c r="O52" s="21"/>
      <c r="P52" s="14"/>
      <c r="Q52" s="21"/>
      <c r="R52" s="14"/>
    </row>
    <row r="53" spans="3:18" ht="39" x14ac:dyDescent="0.35">
      <c r="C53" s="18">
        <v>5</v>
      </c>
      <c r="D53" s="23" t="s">
        <v>182</v>
      </c>
      <c r="E53" s="20" t="s">
        <v>499</v>
      </c>
      <c r="F53" s="14">
        <v>20</v>
      </c>
      <c r="G53" s="20" t="s">
        <v>498</v>
      </c>
      <c r="H53" s="14">
        <v>20</v>
      </c>
      <c r="I53" s="20" t="s">
        <v>497</v>
      </c>
      <c r="J53" s="14">
        <v>20</v>
      </c>
      <c r="K53" s="20" t="s">
        <v>495</v>
      </c>
      <c r="L53" s="14">
        <v>20</v>
      </c>
      <c r="M53" s="20" t="s">
        <v>496</v>
      </c>
      <c r="N53" s="14">
        <v>20</v>
      </c>
      <c r="O53" s="21"/>
      <c r="P53" s="14"/>
      <c r="Q53" s="21"/>
      <c r="R53" s="14"/>
    </row>
    <row r="54" spans="3:18" ht="39" x14ac:dyDescent="0.35">
      <c r="C54" s="18">
        <v>6</v>
      </c>
      <c r="D54" s="23" t="s">
        <v>184</v>
      </c>
      <c r="E54" s="20" t="s">
        <v>500</v>
      </c>
      <c r="F54" s="14">
        <v>20</v>
      </c>
      <c r="G54" s="20" t="s">
        <v>501</v>
      </c>
      <c r="H54" s="14">
        <v>20</v>
      </c>
      <c r="I54" s="20" t="s">
        <v>502</v>
      </c>
      <c r="J54" s="14">
        <v>20</v>
      </c>
      <c r="K54" s="20" t="s">
        <v>503</v>
      </c>
      <c r="L54" s="14">
        <v>20</v>
      </c>
      <c r="M54" s="20" t="s">
        <v>504</v>
      </c>
      <c r="N54" s="14">
        <v>20</v>
      </c>
      <c r="O54" s="21"/>
      <c r="P54" s="14"/>
      <c r="Q54" s="21"/>
      <c r="R54" s="14"/>
    </row>
    <row r="55" spans="3:18" ht="39" x14ac:dyDescent="0.35">
      <c r="C55" s="18">
        <v>7</v>
      </c>
      <c r="D55" s="23" t="s">
        <v>186</v>
      </c>
      <c r="E55" s="20" t="s">
        <v>505</v>
      </c>
      <c r="F55" s="14">
        <v>20</v>
      </c>
      <c r="G55" s="20" t="s">
        <v>506</v>
      </c>
      <c r="H55" s="14">
        <v>20</v>
      </c>
      <c r="I55" s="20" t="s">
        <v>507</v>
      </c>
      <c r="J55" s="14">
        <v>20</v>
      </c>
      <c r="K55" s="20" t="s">
        <v>508</v>
      </c>
      <c r="L55" s="14">
        <v>20</v>
      </c>
      <c r="M55" s="20" t="s">
        <v>509</v>
      </c>
      <c r="N55" s="14">
        <v>20</v>
      </c>
      <c r="O55" s="21"/>
      <c r="P55" s="14"/>
      <c r="Q55" s="21"/>
      <c r="R55" s="14"/>
    </row>
    <row r="56" spans="3:18" ht="39" x14ac:dyDescent="0.35">
      <c r="C56" s="18">
        <v>8</v>
      </c>
      <c r="D56" s="23" t="s">
        <v>188</v>
      </c>
      <c r="E56" s="20" t="s">
        <v>510</v>
      </c>
      <c r="F56" s="14">
        <v>20</v>
      </c>
      <c r="G56" s="20" t="s">
        <v>511</v>
      </c>
      <c r="H56" s="14">
        <v>20</v>
      </c>
      <c r="I56" s="20" t="s">
        <v>512</v>
      </c>
      <c r="J56" s="14">
        <v>20</v>
      </c>
      <c r="K56" s="20" t="s">
        <v>513</v>
      </c>
      <c r="L56" s="14">
        <v>20</v>
      </c>
      <c r="M56" s="20" t="s">
        <v>514</v>
      </c>
      <c r="N56" s="14">
        <v>20</v>
      </c>
      <c r="O56" s="21"/>
      <c r="P56" s="14"/>
      <c r="Q56" s="21"/>
      <c r="R56" s="14"/>
    </row>
    <row r="57" spans="3:18" ht="26" x14ac:dyDescent="0.35">
      <c r="C57" s="18">
        <v>9</v>
      </c>
      <c r="D57" s="23" t="s">
        <v>190</v>
      </c>
      <c r="E57" s="20" t="s">
        <v>515</v>
      </c>
      <c r="F57" s="14">
        <v>20</v>
      </c>
      <c r="G57" s="20" t="s">
        <v>516</v>
      </c>
      <c r="H57" s="14">
        <v>20</v>
      </c>
      <c r="I57" s="20" t="s">
        <v>517</v>
      </c>
      <c r="J57" s="14">
        <v>20</v>
      </c>
      <c r="K57" s="20" t="s">
        <v>518</v>
      </c>
      <c r="L57" s="14">
        <v>20</v>
      </c>
      <c r="M57" s="20" t="s">
        <v>519</v>
      </c>
      <c r="N57" s="14">
        <v>20</v>
      </c>
      <c r="O57" s="21"/>
      <c r="P57" s="14"/>
      <c r="Q57" s="21"/>
      <c r="R57" s="14"/>
    </row>
    <row r="58" spans="3:18" ht="26" x14ac:dyDescent="0.35">
      <c r="C58" s="18">
        <v>10</v>
      </c>
      <c r="D58" s="23" t="s">
        <v>192</v>
      </c>
      <c r="E58" s="20" t="s">
        <v>520</v>
      </c>
      <c r="F58" s="14">
        <v>20</v>
      </c>
      <c r="G58" s="20" t="s">
        <v>521</v>
      </c>
      <c r="H58" s="14">
        <v>20</v>
      </c>
      <c r="I58" s="20" t="s">
        <v>522</v>
      </c>
      <c r="J58" s="14">
        <v>20</v>
      </c>
      <c r="K58" s="20" t="s">
        <v>523</v>
      </c>
      <c r="L58" s="14">
        <v>20</v>
      </c>
      <c r="M58" s="20" t="s">
        <v>524</v>
      </c>
      <c r="N58" s="14">
        <v>20</v>
      </c>
      <c r="O58" s="21"/>
      <c r="P58" s="14"/>
      <c r="Q58" s="21"/>
      <c r="R58" s="14"/>
    </row>
    <row r="59" spans="3:18" ht="39" x14ac:dyDescent="0.35">
      <c r="C59" s="18">
        <v>11</v>
      </c>
      <c r="D59" s="23" t="s">
        <v>194</v>
      </c>
      <c r="E59" s="20" t="s">
        <v>525</v>
      </c>
      <c r="F59" s="14">
        <v>20</v>
      </c>
      <c r="G59" s="20" t="s">
        <v>526</v>
      </c>
      <c r="H59" s="14">
        <v>20</v>
      </c>
      <c r="I59" s="20" t="s">
        <v>527</v>
      </c>
      <c r="J59" s="14">
        <v>20</v>
      </c>
      <c r="K59" s="20" t="s">
        <v>528</v>
      </c>
      <c r="L59" s="14">
        <v>20</v>
      </c>
      <c r="M59" s="20" t="s">
        <v>529</v>
      </c>
      <c r="N59" s="14">
        <v>20</v>
      </c>
      <c r="O59" s="21"/>
      <c r="P59" s="14"/>
      <c r="Q59" s="21"/>
      <c r="R59" s="14"/>
    </row>
    <row r="60" spans="3:18" ht="78" x14ac:dyDescent="0.35">
      <c r="C60" s="18">
        <v>12</v>
      </c>
      <c r="D60" s="23" t="s">
        <v>196</v>
      </c>
      <c r="E60" s="20" t="s">
        <v>531</v>
      </c>
      <c r="F60" s="14">
        <v>20</v>
      </c>
      <c r="G60" s="20" t="s">
        <v>532</v>
      </c>
      <c r="H60" s="14">
        <v>20</v>
      </c>
      <c r="I60" s="20" t="s">
        <v>533</v>
      </c>
      <c r="J60" s="14">
        <v>20</v>
      </c>
      <c r="K60" s="20" t="s">
        <v>534</v>
      </c>
      <c r="L60" s="14">
        <v>20</v>
      </c>
      <c r="M60" s="20" t="s">
        <v>535</v>
      </c>
      <c r="N60" s="14">
        <v>20</v>
      </c>
      <c r="O60" s="21"/>
      <c r="P60" s="14"/>
      <c r="Q60" s="21"/>
      <c r="R60" s="14"/>
    </row>
    <row r="61" spans="3:18" x14ac:dyDescent="0.35">
      <c r="C61" s="44" t="s">
        <v>198</v>
      </c>
      <c r="D61" s="46"/>
      <c r="E61" s="21"/>
      <c r="F61" s="14"/>
      <c r="G61" s="21"/>
      <c r="H61" s="14"/>
      <c r="I61" s="21"/>
      <c r="J61" s="14"/>
      <c r="K61" s="21"/>
      <c r="L61" s="14"/>
      <c r="M61" s="21"/>
      <c r="N61" s="14"/>
      <c r="O61" s="21"/>
      <c r="P61" s="14"/>
      <c r="Q61" s="21"/>
      <c r="R61" s="14"/>
    </row>
    <row r="62" spans="3:18" ht="26" x14ac:dyDescent="0.35">
      <c r="C62" s="18">
        <v>1</v>
      </c>
      <c r="D62" s="23" t="s">
        <v>199</v>
      </c>
      <c r="E62" s="20" t="s">
        <v>238</v>
      </c>
      <c r="F62" s="14">
        <v>20</v>
      </c>
      <c r="G62" s="20" t="s">
        <v>239</v>
      </c>
      <c r="H62" s="14">
        <v>20</v>
      </c>
      <c r="I62" s="20" t="s">
        <v>240</v>
      </c>
      <c r="J62" s="14">
        <v>20</v>
      </c>
      <c r="K62" s="20" t="s">
        <v>241</v>
      </c>
      <c r="L62" s="14">
        <v>20</v>
      </c>
      <c r="M62" s="20" t="s">
        <v>242</v>
      </c>
      <c r="N62" s="14">
        <v>20</v>
      </c>
      <c r="O62" s="21"/>
      <c r="P62" s="14"/>
      <c r="Q62" s="21"/>
      <c r="R62" s="14"/>
    </row>
    <row r="63" spans="3:18" ht="39" x14ac:dyDescent="0.35">
      <c r="C63" s="18">
        <v>2</v>
      </c>
      <c r="D63" s="23" t="s">
        <v>201</v>
      </c>
      <c r="E63" s="20" t="s">
        <v>536</v>
      </c>
      <c r="F63" s="14">
        <v>20</v>
      </c>
      <c r="G63" s="20" t="s">
        <v>537</v>
      </c>
      <c r="H63" s="14">
        <v>20</v>
      </c>
      <c r="I63" s="20" t="s">
        <v>538</v>
      </c>
      <c r="J63" s="14">
        <v>20</v>
      </c>
      <c r="K63" s="20" t="s">
        <v>539</v>
      </c>
      <c r="L63" s="14">
        <v>20</v>
      </c>
      <c r="M63" s="20" t="s">
        <v>540</v>
      </c>
      <c r="N63" s="14">
        <v>20</v>
      </c>
      <c r="O63" s="21"/>
      <c r="P63" s="14"/>
      <c r="Q63" s="21"/>
      <c r="R63" s="14"/>
    </row>
    <row r="64" spans="3:18" ht="39" x14ac:dyDescent="0.35">
      <c r="C64" s="18">
        <v>3</v>
      </c>
      <c r="D64" s="23" t="s">
        <v>203</v>
      </c>
      <c r="E64" s="20" t="s">
        <v>544</v>
      </c>
      <c r="F64" s="14">
        <v>20</v>
      </c>
      <c r="G64" s="20" t="s">
        <v>543</v>
      </c>
      <c r="H64" s="14">
        <v>20</v>
      </c>
      <c r="I64" s="20" t="s">
        <v>542</v>
      </c>
      <c r="J64" s="14">
        <v>20</v>
      </c>
      <c r="K64" s="20" t="s">
        <v>545</v>
      </c>
      <c r="L64" s="14">
        <v>20</v>
      </c>
      <c r="M64" s="20" t="s">
        <v>546</v>
      </c>
      <c r="N64" s="14">
        <v>20</v>
      </c>
      <c r="O64" s="21"/>
      <c r="P64" s="14"/>
      <c r="Q64" s="21"/>
      <c r="R64" s="14"/>
    </row>
    <row r="65" spans="3:18" ht="26" x14ac:dyDescent="0.35">
      <c r="C65" s="18">
        <v>4</v>
      </c>
      <c r="D65" s="23" t="s">
        <v>205</v>
      </c>
      <c r="E65" s="20" t="s">
        <v>243</v>
      </c>
      <c r="F65" s="14">
        <v>20</v>
      </c>
      <c r="G65" s="20" t="s">
        <v>244</v>
      </c>
      <c r="H65" s="14">
        <v>20</v>
      </c>
      <c r="I65" s="20" t="s">
        <v>245</v>
      </c>
      <c r="J65" s="14">
        <v>20</v>
      </c>
      <c r="K65" s="20" t="s">
        <v>246</v>
      </c>
      <c r="L65" s="14">
        <v>20</v>
      </c>
      <c r="M65" s="20" t="s">
        <v>247</v>
      </c>
      <c r="N65" s="14">
        <v>20</v>
      </c>
      <c r="O65" s="21"/>
      <c r="P65" s="14"/>
      <c r="Q65" s="21"/>
      <c r="R65" s="14"/>
    </row>
    <row r="66" spans="3:18" ht="39" x14ac:dyDescent="0.35">
      <c r="C66" s="18">
        <v>5</v>
      </c>
      <c r="D66" s="23" t="s">
        <v>207</v>
      </c>
      <c r="E66" s="20" t="s">
        <v>547</v>
      </c>
      <c r="F66" s="14">
        <v>20</v>
      </c>
      <c r="G66" s="20" t="s">
        <v>548</v>
      </c>
      <c r="H66" s="14">
        <v>20</v>
      </c>
      <c r="I66" s="20" t="s">
        <v>549</v>
      </c>
      <c r="J66" s="14">
        <v>20</v>
      </c>
      <c r="K66" s="20" t="s">
        <v>550</v>
      </c>
      <c r="L66" s="14">
        <v>20</v>
      </c>
      <c r="M66" s="20" t="s">
        <v>551</v>
      </c>
      <c r="N66" s="14">
        <v>20</v>
      </c>
      <c r="O66" s="21"/>
      <c r="P66" s="14"/>
      <c r="Q66" s="21"/>
      <c r="R66" s="14"/>
    </row>
    <row r="67" spans="3:18" ht="26" x14ac:dyDescent="0.35">
      <c r="C67" s="18">
        <v>6</v>
      </c>
      <c r="D67" s="23" t="s">
        <v>209</v>
      </c>
      <c r="E67" s="20" t="s">
        <v>552</v>
      </c>
      <c r="F67" s="14">
        <v>20</v>
      </c>
      <c r="G67" s="20" t="s">
        <v>553</v>
      </c>
      <c r="H67" s="14">
        <v>20</v>
      </c>
      <c r="I67" s="20" t="s">
        <v>554</v>
      </c>
      <c r="J67" s="14">
        <v>20</v>
      </c>
      <c r="K67" s="20" t="s">
        <v>555</v>
      </c>
      <c r="L67" s="14">
        <v>20</v>
      </c>
      <c r="M67" s="20" t="s">
        <v>556</v>
      </c>
      <c r="N67" s="14">
        <v>20</v>
      </c>
      <c r="O67" s="21"/>
      <c r="P67" s="14"/>
      <c r="Q67" s="21"/>
      <c r="R67" s="14"/>
    </row>
    <row r="68" spans="3:18" ht="26" x14ac:dyDescent="0.35">
      <c r="C68" s="18">
        <v>7</v>
      </c>
      <c r="D68" s="23" t="s">
        <v>211</v>
      </c>
      <c r="E68" s="20" t="s">
        <v>557</v>
      </c>
      <c r="F68" s="14">
        <v>20</v>
      </c>
      <c r="G68" s="20" t="s">
        <v>558</v>
      </c>
      <c r="H68" s="14">
        <v>20</v>
      </c>
      <c r="I68" s="20" t="s">
        <v>559</v>
      </c>
      <c r="J68" s="14">
        <v>20</v>
      </c>
      <c r="K68" s="20" t="s">
        <v>560</v>
      </c>
      <c r="L68" s="14">
        <v>20</v>
      </c>
      <c r="M68" s="20" t="s">
        <v>561</v>
      </c>
      <c r="N68" s="14">
        <v>20</v>
      </c>
      <c r="O68" s="21"/>
      <c r="P68" s="14"/>
      <c r="Q68" s="21"/>
      <c r="R68" s="14"/>
    </row>
    <row r="69" spans="3:18" ht="39" x14ac:dyDescent="0.35">
      <c r="C69" s="18">
        <v>8</v>
      </c>
      <c r="D69" s="23" t="s">
        <v>213</v>
      </c>
      <c r="E69" s="20" t="s">
        <v>567</v>
      </c>
      <c r="F69" s="14">
        <v>20</v>
      </c>
      <c r="G69" s="20" t="s">
        <v>568</v>
      </c>
      <c r="H69" s="14">
        <v>20</v>
      </c>
      <c r="I69" s="20" t="s">
        <v>569</v>
      </c>
      <c r="J69" s="14">
        <v>20</v>
      </c>
      <c r="K69" s="20" t="s">
        <v>570</v>
      </c>
      <c r="L69" s="14">
        <v>20</v>
      </c>
      <c r="M69" s="20" t="s">
        <v>571</v>
      </c>
      <c r="N69" s="14">
        <v>20</v>
      </c>
      <c r="O69" s="21"/>
      <c r="P69" s="14"/>
      <c r="Q69" s="21"/>
      <c r="R69" s="14"/>
    </row>
    <row r="70" spans="3:18" ht="39" x14ac:dyDescent="0.35">
      <c r="C70" s="18">
        <v>9</v>
      </c>
      <c r="D70" s="23" t="s">
        <v>215</v>
      </c>
      <c r="E70" s="20" t="s">
        <v>572</v>
      </c>
      <c r="F70" s="14">
        <v>20</v>
      </c>
      <c r="G70" s="20" t="s">
        <v>573</v>
      </c>
      <c r="H70" s="14">
        <v>20</v>
      </c>
      <c r="I70" s="20" t="s">
        <v>574</v>
      </c>
      <c r="J70" s="14">
        <v>20</v>
      </c>
      <c r="K70" s="20" t="s">
        <v>575</v>
      </c>
      <c r="L70" s="14">
        <v>20</v>
      </c>
      <c r="M70" s="20" t="s">
        <v>576</v>
      </c>
      <c r="N70" s="14">
        <v>20</v>
      </c>
      <c r="O70" s="21"/>
      <c r="P70" s="14"/>
      <c r="Q70" s="21"/>
      <c r="R70" s="14"/>
    </row>
    <row r="71" spans="3:18" ht="39" x14ac:dyDescent="0.35">
      <c r="C71" s="18">
        <v>10</v>
      </c>
      <c r="D71" s="23" t="s">
        <v>248</v>
      </c>
      <c r="E71" s="20" t="s">
        <v>562</v>
      </c>
      <c r="F71" s="14">
        <v>20</v>
      </c>
      <c r="G71" s="20" t="s">
        <v>563</v>
      </c>
      <c r="H71" s="14">
        <v>20</v>
      </c>
      <c r="I71" s="20" t="s">
        <v>564</v>
      </c>
      <c r="J71" s="14">
        <v>20</v>
      </c>
      <c r="K71" s="20" t="s">
        <v>565</v>
      </c>
      <c r="L71" s="14">
        <v>20</v>
      </c>
      <c r="M71" s="20" t="s">
        <v>566</v>
      </c>
      <c r="N71" s="14">
        <v>20</v>
      </c>
      <c r="O71" s="21"/>
      <c r="P71" s="14"/>
      <c r="Q71" s="21"/>
      <c r="R71" s="14"/>
    </row>
    <row r="72" spans="3:18" x14ac:dyDescent="0.35">
      <c r="C72" s="44" t="s">
        <v>217</v>
      </c>
      <c r="D72" s="46"/>
      <c r="E72" s="21"/>
      <c r="F72" s="14"/>
      <c r="G72" s="21"/>
      <c r="H72" s="14"/>
      <c r="I72" s="21"/>
      <c r="J72" s="14"/>
      <c r="K72" s="21"/>
      <c r="L72" s="14"/>
      <c r="M72" s="21"/>
      <c r="N72" s="14"/>
      <c r="O72" s="21"/>
      <c r="P72" s="14"/>
      <c r="Q72" s="21"/>
      <c r="R72" s="14"/>
    </row>
    <row r="73" spans="3:18" ht="82.5" customHeight="1" x14ac:dyDescent="0.35">
      <c r="C73" s="18">
        <v>1</v>
      </c>
      <c r="D73" s="23" t="s">
        <v>218</v>
      </c>
      <c r="E73" s="20" t="s">
        <v>578</v>
      </c>
      <c r="F73" s="14">
        <v>15</v>
      </c>
      <c r="G73" s="20" t="s">
        <v>579</v>
      </c>
      <c r="H73" s="14">
        <v>15</v>
      </c>
      <c r="I73" s="20" t="s">
        <v>580</v>
      </c>
      <c r="J73" s="14">
        <v>15</v>
      </c>
      <c r="K73" s="20" t="s">
        <v>581</v>
      </c>
      <c r="L73" s="14">
        <v>15</v>
      </c>
      <c r="M73" s="20" t="s">
        <v>582</v>
      </c>
      <c r="N73" s="14">
        <v>15</v>
      </c>
      <c r="O73" s="20" t="s">
        <v>583</v>
      </c>
      <c r="P73" s="14">
        <v>25</v>
      </c>
      <c r="Q73" s="20"/>
      <c r="R73" s="14"/>
    </row>
    <row r="74" spans="3:18" ht="39" x14ac:dyDescent="0.35">
      <c r="C74" s="18">
        <v>2</v>
      </c>
      <c r="D74" s="23" t="s">
        <v>220</v>
      </c>
      <c r="E74" s="20" t="s">
        <v>585</v>
      </c>
      <c r="F74" s="14">
        <v>15</v>
      </c>
      <c r="G74" s="20" t="s">
        <v>586</v>
      </c>
      <c r="H74" s="14">
        <v>15</v>
      </c>
      <c r="I74" s="20" t="s">
        <v>587</v>
      </c>
      <c r="J74" s="14">
        <v>15</v>
      </c>
      <c r="K74" s="20" t="s">
        <v>588</v>
      </c>
      <c r="L74" s="14">
        <v>15</v>
      </c>
      <c r="M74" s="20" t="s">
        <v>589</v>
      </c>
      <c r="N74" s="14">
        <v>15</v>
      </c>
      <c r="O74" s="20" t="s">
        <v>590</v>
      </c>
      <c r="P74" s="14">
        <v>15</v>
      </c>
      <c r="Q74" s="20" t="s">
        <v>591</v>
      </c>
      <c r="R74" s="14">
        <v>10</v>
      </c>
    </row>
    <row r="75" spans="3:18" ht="78" x14ac:dyDescent="0.35">
      <c r="C75" s="18">
        <v>3</v>
      </c>
      <c r="D75" s="23" t="s">
        <v>222</v>
      </c>
      <c r="E75" s="20" t="s">
        <v>592</v>
      </c>
      <c r="F75" s="14">
        <v>15</v>
      </c>
      <c r="G75" s="20" t="s">
        <v>593</v>
      </c>
      <c r="H75" s="14">
        <v>15</v>
      </c>
      <c r="I75" s="20" t="s">
        <v>594</v>
      </c>
      <c r="J75" s="14">
        <v>20</v>
      </c>
      <c r="K75" s="20" t="s">
        <v>595</v>
      </c>
      <c r="L75" s="14">
        <v>15</v>
      </c>
      <c r="M75" s="20" t="s">
        <v>596</v>
      </c>
      <c r="N75" s="14">
        <v>15</v>
      </c>
      <c r="O75" s="20" t="s">
        <v>597</v>
      </c>
      <c r="P75" s="14">
        <v>20</v>
      </c>
      <c r="Q75" s="21"/>
      <c r="R75" s="14"/>
    </row>
    <row r="76" spans="3:18" ht="65.5" customHeight="1" x14ac:dyDescent="0.35">
      <c r="C76" s="18">
        <v>4</v>
      </c>
      <c r="D76" s="23" t="s">
        <v>224</v>
      </c>
      <c r="E76" s="20" t="s">
        <v>598</v>
      </c>
      <c r="F76" s="14">
        <v>15</v>
      </c>
      <c r="G76" s="20" t="s">
        <v>599</v>
      </c>
      <c r="H76" s="14">
        <v>15</v>
      </c>
      <c r="I76" s="20" t="s">
        <v>600</v>
      </c>
      <c r="J76" s="14">
        <v>15</v>
      </c>
      <c r="K76" s="20" t="s">
        <v>601</v>
      </c>
      <c r="L76" s="14">
        <v>15</v>
      </c>
      <c r="M76" s="20" t="s">
        <v>602</v>
      </c>
      <c r="N76" s="14">
        <v>15</v>
      </c>
      <c r="O76" s="20" t="s">
        <v>603</v>
      </c>
      <c r="P76" s="14">
        <v>15</v>
      </c>
      <c r="Q76" s="20" t="s">
        <v>604</v>
      </c>
      <c r="R76" s="14">
        <v>10</v>
      </c>
    </row>
    <row r="77" spans="3:18" x14ac:dyDescent="0.35">
      <c r="C77" s="44" t="s">
        <v>226</v>
      </c>
      <c r="D77" s="46"/>
      <c r="E77" s="21"/>
      <c r="F77" s="14"/>
      <c r="G77" s="21"/>
      <c r="H77" s="14"/>
      <c r="I77" s="21"/>
      <c r="J77" s="14"/>
      <c r="K77" s="21"/>
      <c r="L77" s="14"/>
      <c r="M77" s="21"/>
      <c r="N77" s="14"/>
      <c r="O77" s="21"/>
      <c r="P77" s="14"/>
      <c r="Q77" s="21"/>
      <c r="R77" s="14"/>
    </row>
    <row r="78" spans="3:18" ht="78" x14ac:dyDescent="0.35">
      <c r="C78" s="18">
        <v>1</v>
      </c>
      <c r="D78" s="23" t="s">
        <v>218</v>
      </c>
      <c r="E78" s="20" t="s">
        <v>277</v>
      </c>
      <c r="F78" s="14">
        <v>15</v>
      </c>
      <c r="G78" s="20" t="s">
        <v>278</v>
      </c>
      <c r="H78" s="14">
        <v>15</v>
      </c>
      <c r="I78" s="20" t="s">
        <v>279</v>
      </c>
      <c r="J78" s="14">
        <v>15</v>
      </c>
      <c r="K78" s="20" t="s">
        <v>280</v>
      </c>
      <c r="L78" s="14">
        <v>15</v>
      </c>
      <c r="M78" s="20" t="s">
        <v>281</v>
      </c>
      <c r="N78" s="14">
        <v>15</v>
      </c>
      <c r="O78" s="20" t="s">
        <v>291</v>
      </c>
      <c r="P78" s="14">
        <v>25</v>
      </c>
      <c r="Q78" s="20"/>
      <c r="R78" s="14"/>
    </row>
    <row r="79" spans="3:18" ht="39" x14ac:dyDescent="0.35">
      <c r="C79" s="18">
        <v>2</v>
      </c>
      <c r="D79" s="23" t="s">
        <v>220</v>
      </c>
      <c r="E79" s="20" t="s">
        <v>249</v>
      </c>
      <c r="F79" s="14">
        <v>15</v>
      </c>
      <c r="G79" s="20" t="s">
        <v>250</v>
      </c>
      <c r="H79" s="14">
        <v>15</v>
      </c>
      <c r="I79" s="20" t="s">
        <v>251</v>
      </c>
      <c r="J79" s="14">
        <v>15</v>
      </c>
      <c r="K79" s="20" t="s">
        <v>252</v>
      </c>
      <c r="L79" s="14">
        <v>15</v>
      </c>
      <c r="M79" s="20" t="s">
        <v>253</v>
      </c>
      <c r="N79" s="14">
        <v>15</v>
      </c>
      <c r="O79" s="20" t="s">
        <v>254</v>
      </c>
      <c r="P79" s="14">
        <v>15</v>
      </c>
      <c r="Q79" s="20" t="s">
        <v>255</v>
      </c>
      <c r="R79" s="14">
        <v>10</v>
      </c>
    </row>
    <row r="80" spans="3:18" ht="78" x14ac:dyDescent="0.35">
      <c r="C80" s="18">
        <v>3</v>
      </c>
      <c r="D80" s="23" t="s">
        <v>222</v>
      </c>
      <c r="E80" s="20" t="s">
        <v>282</v>
      </c>
      <c r="F80" s="14">
        <v>15</v>
      </c>
      <c r="G80" s="20" t="s">
        <v>283</v>
      </c>
      <c r="H80" s="14">
        <v>15</v>
      </c>
      <c r="I80" s="20" t="s">
        <v>284</v>
      </c>
      <c r="J80" s="14">
        <v>20</v>
      </c>
      <c r="K80" s="20" t="s">
        <v>285</v>
      </c>
      <c r="L80" s="14">
        <v>15</v>
      </c>
      <c r="M80" s="20" t="s">
        <v>286</v>
      </c>
      <c r="N80" s="14">
        <v>15</v>
      </c>
      <c r="O80" s="20" t="s">
        <v>287</v>
      </c>
      <c r="P80" s="14">
        <v>20</v>
      </c>
      <c r="Q80" s="21"/>
      <c r="R80" s="14"/>
    </row>
    <row r="81" spans="3:18" ht="39" x14ac:dyDescent="0.35">
      <c r="C81" s="18">
        <v>4</v>
      </c>
      <c r="D81" s="23" t="s">
        <v>224</v>
      </c>
      <c r="E81" s="20" t="s">
        <v>256</v>
      </c>
      <c r="F81" s="14">
        <v>15</v>
      </c>
      <c r="G81" s="20" t="s">
        <v>257</v>
      </c>
      <c r="H81" s="14">
        <v>15</v>
      </c>
      <c r="I81" s="20" t="s">
        <v>258</v>
      </c>
      <c r="J81" s="14">
        <v>15</v>
      </c>
      <c r="K81" s="20" t="s">
        <v>259</v>
      </c>
      <c r="L81" s="14">
        <v>15</v>
      </c>
      <c r="M81" s="20" t="s">
        <v>260</v>
      </c>
      <c r="N81" s="14">
        <v>15</v>
      </c>
      <c r="O81" s="20" t="s">
        <v>261</v>
      </c>
      <c r="P81" s="14">
        <v>15</v>
      </c>
      <c r="Q81" s="20" t="s">
        <v>262</v>
      </c>
      <c r="R81" s="14">
        <v>10</v>
      </c>
    </row>
  </sheetData>
  <mergeCells count="12">
    <mergeCell ref="C77:D77"/>
    <mergeCell ref="E4:M4"/>
    <mergeCell ref="E6:N6"/>
    <mergeCell ref="C15:D15"/>
    <mergeCell ref="C25:D25"/>
    <mergeCell ref="C37:D37"/>
    <mergeCell ref="C48:D48"/>
    <mergeCell ref="C61:D61"/>
    <mergeCell ref="C72:D72"/>
    <mergeCell ref="C4:C5"/>
    <mergeCell ref="D4:D5"/>
    <mergeCell ref="C6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7022-F606-4F6C-85D6-3D748C047F4D}">
  <dimension ref="B2:S302"/>
  <sheetViews>
    <sheetView tabSelected="1" topLeftCell="D190" workbookViewId="0">
      <selection activeCell="U200" sqref="U200"/>
    </sheetView>
  </sheetViews>
  <sheetFormatPr defaultRowHeight="14.5" x14ac:dyDescent="0.35"/>
  <cols>
    <col min="2" max="2" width="25.1796875" customWidth="1"/>
    <col min="3" max="3" width="9.1796875" customWidth="1"/>
    <col min="4" max="4" width="9.08984375" customWidth="1"/>
    <col min="5" max="5" width="9" style="25" customWidth="1"/>
    <col min="6" max="7" width="8.7265625" style="25"/>
    <col min="12" max="12" width="24.7265625" customWidth="1"/>
  </cols>
  <sheetData>
    <row r="2" spans="2:19" x14ac:dyDescent="0.35">
      <c r="B2" s="57" t="s">
        <v>96</v>
      </c>
      <c r="L2" s="57" t="s">
        <v>173</v>
      </c>
      <c r="O2" s="25"/>
      <c r="P2" s="25"/>
      <c r="Q2" s="25"/>
    </row>
    <row r="3" spans="2:19" x14ac:dyDescent="0.35">
      <c r="O3" s="25"/>
      <c r="P3" s="25"/>
      <c r="Q3" s="25"/>
    </row>
    <row r="4" spans="2:19" ht="58" x14ac:dyDescent="0.35">
      <c r="B4" s="50" t="s">
        <v>93</v>
      </c>
      <c r="C4" s="50" t="s">
        <v>296</v>
      </c>
      <c r="D4" s="50" t="s">
        <v>297</v>
      </c>
      <c r="E4" s="50" t="s">
        <v>298</v>
      </c>
      <c r="F4" s="50" t="s">
        <v>302</v>
      </c>
      <c r="G4" s="50" t="s">
        <v>303</v>
      </c>
      <c r="H4" s="50" t="s">
        <v>304</v>
      </c>
      <c r="I4" s="50" t="s">
        <v>297</v>
      </c>
      <c r="L4" s="50" t="s">
        <v>93</v>
      </c>
      <c r="M4" s="50" t="s">
        <v>296</v>
      </c>
      <c r="N4" s="50" t="s">
        <v>297</v>
      </c>
      <c r="O4" s="50" t="s">
        <v>298</v>
      </c>
      <c r="P4" s="50" t="s">
        <v>302</v>
      </c>
      <c r="Q4" s="50" t="s">
        <v>303</v>
      </c>
      <c r="R4" s="50" t="s">
        <v>304</v>
      </c>
      <c r="S4" s="50" t="s">
        <v>297</v>
      </c>
    </row>
    <row r="5" spans="2:19" x14ac:dyDescent="0.35">
      <c r="B5" s="52" t="s">
        <v>97</v>
      </c>
      <c r="C5" s="27" t="s">
        <v>228</v>
      </c>
      <c r="D5" s="51">
        <v>25</v>
      </c>
      <c r="E5" s="51" t="s">
        <v>299</v>
      </c>
      <c r="F5" s="51">
        <f>25/33.33</f>
        <v>0.75007500750075007</v>
      </c>
      <c r="G5" s="51">
        <v>33.33</v>
      </c>
      <c r="H5" s="51">
        <f>33.33/'MK-CPL'!O82</f>
        <v>8.9813259559332073E-2</v>
      </c>
      <c r="I5" s="51">
        <f>F5*H5</f>
        <v>6.7366681337632822E-2</v>
      </c>
      <c r="L5" s="52" t="s">
        <v>174</v>
      </c>
      <c r="M5" s="27" t="s">
        <v>228</v>
      </c>
      <c r="N5" s="51">
        <v>20</v>
      </c>
      <c r="O5" s="52" t="s">
        <v>338</v>
      </c>
      <c r="P5" s="51">
        <f>N5/Q5</f>
        <v>0.60006000600060005</v>
      </c>
      <c r="Q5" s="52">
        <v>33.33</v>
      </c>
      <c r="R5" s="52">
        <f>Q5/'MK-CPL'!H82</f>
        <v>2.6747452050397243E-2</v>
      </c>
      <c r="S5" s="51">
        <f>P5*R5</f>
        <v>1.6050076237862133E-2</v>
      </c>
    </row>
    <row r="6" spans="2:19" x14ac:dyDescent="0.35">
      <c r="B6" s="53"/>
      <c r="C6" s="27" t="s">
        <v>229</v>
      </c>
      <c r="D6" s="51">
        <v>25</v>
      </c>
      <c r="E6" s="49" t="s">
        <v>300</v>
      </c>
      <c r="F6" s="51">
        <f>25/33.33</f>
        <v>0.75007500750075007</v>
      </c>
      <c r="G6" s="49">
        <v>33.33</v>
      </c>
      <c r="H6" s="49">
        <f>G6/'MK-CPL'!P82</f>
        <v>0.11362499999999998</v>
      </c>
      <c r="I6" s="51">
        <f>F6*H6</f>
        <v>8.5227272727272707E-2</v>
      </c>
      <c r="L6" s="53"/>
      <c r="M6" s="27" t="s">
        <v>229</v>
      </c>
      <c r="N6" s="51">
        <v>20</v>
      </c>
      <c r="O6" s="54"/>
      <c r="P6" s="51">
        <f>N6/Q5</f>
        <v>0.60006000600060005</v>
      </c>
      <c r="Q6" s="54"/>
      <c r="R6" s="54"/>
      <c r="S6" s="51">
        <f>P6*R5</f>
        <v>1.6050076237862133E-2</v>
      </c>
    </row>
    <row r="7" spans="2:19" x14ac:dyDescent="0.35">
      <c r="B7" s="53"/>
      <c r="C7" s="27" t="s">
        <v>230</v>
      </c>
      <c r="D7" s="51">
        <v>25</v>
      </c>
      <c r="E7" s="49"/>
      <c r="F7" s="51">
        <f>25/33.33</f>
        <v>0.75007500750075007</v>
      </c>
      <c r="G7" s="49"/>
      <c r="H7" s="49"/>
      <c r="I7" s="51">
        <f>F7*H6</f>
        <v>8.5227272727272707E-2</v>
      </c>
      <c r="L7" s="53"/>
      <c r="M7" s="27" t="s">
        <v>230</v>
      </c>
      <c r="N7" s="51">
        <v>20</v>
      </c>
      <c r="O7" s="55" t="s">
        <v>327</v>
      </c>
      <c r="P7" s="51">
        <f>N7/Q7</f>
        <v>0.60006000600060005</v>
      </c>
      <c r="Q7" s="55">
        <v>33.33</v>
      </c>
      <c r="R7" s="56">
        <f>Q7/'MK-CPL'!K82</f>
        <v>2.2528946959301896E-2</v>
      </c>
      <c r="S7" s="51">
        <f>P7*R7</f>
        <v>1.3518720047585897E-2</v>
      </c>
    </row>
    <row r="8" spans="2:19" x14ac:dyDescent="0.35">
      <c r="B8" s="54"/>
      <c r="C8" s="27" t="s">
        <v>231</v>
      </c>
      <c r="D8" s="51">
        <v>25</v>
      </c>
      <c r="E8" s="51" t="s">
        <v>301</v>
      </c>
      <c r="F8" s="51">
        <f>25/33.33</f>
        <v>0.75007500750075007</v>
      </c>
      <c r="G8" s="51">
        <v>33.33</v>
      </c>
      <c r="H8" s="51">
        <f>G8/'MK-CPL'!N82</f>
        <v>5.225994606234189E-2</v>
      </c>
      <c r="I8" s="51">
        <f>F8*H8</f>
        <v>3.9198879434699886E-2</v>
      </c>
      <c r="L8" s="53"/>
      <c r="M8" s="27" t="s">
        <v>231</v>
      </c>
      <c r="N8" s="51">
        <v>20</v>
      </c>
      <c r="O8" s="51" t="s">
        <v>338</v>
      </c>
      <c r="P8" s="51">
        <f>N8/Q8</f>
        <v>0.60006000600060005</v>
      </c>
      <c r="Q8" s="51">
        <v>33.33</v>
      </c>
      <c r="R8" s="51">
        <f>Q8/'MK-CPL'!H82</f>
        <v>2.6747452050397243E-2</v>
      </c>
      <c r="S8" s="51">
        <f>P8*R8</f>
        <v>1.6050076237862133E-2</v>
      </c>
    </row>
    <row r="9" spans="2:19" x14ac:dyDescent="0.35">
      <c r="L9" s="54"/>
      <c r="M9" s="27" t="s">
        <v>232</v>
      </c>
      <c r="N9" s="51">
        <v>20</v>
      </c>
      <c r="O9" s="51" t="s">
        <v>299</v>
      </c>
      <c r="P9" s="51">
        <f>N9/Q9</f>
        <v>0.60006000600060005</v>
      </c>
      <c r="Q9" s="51">
        <v>33.33</v>
      </c>
      <c r="R9" s="51">
        <f>Q9/'MK-CPL'!O82</f>
        <v>8.9813259559332073E-2</v>
      </c>
      <c r="S9" s="51">
        <f>P9*R9</f>
        <v>5.3893345070106256E-2</v>
      </c>
    </row>
    <row r="11" spans="2:19" ht="58" x14ac:dyDescent="0.35">
      <c r="B11" s="50" t="s">
        <v>93</v>
      </c>
      <c r="C11" s="50" t="s">
        <v>296</v>
      </c>
      <c r="D11" s="50" t="s">
        <v>297</v>
      </c>
      <c r="E11" s="50" t="s">
        <v>298</v>
      </c>
      <c r="F11" s="50" t="s">
        <v>302</v>
      </c>
      <c r="G11" s="50" t="s">
        <v>303</v>
      </c>
      <c r="H11" s="50" t="s">
        <v>304</v>
      </c>
      <c r="I11" s="50" t="s">
        <v>297</v>
      </c>
      <c r="L11" s="50" t="s">
        <v>93</v>
      </c>
      <c r="M11" s="50" t="s">
        <v>296</v>
      </c>
      <c r="N11" s="50" t="s">
        <v>297</v>
      </c>
      <c r="O11" s="50" t="s">
        <v>298</v>
      </c>
      <c r="P11" s="50" t="s">
        <v>302</v>
      </c>
      <c r="Q11" s="50" t="s">
        <v>303</v>
      </c>
      <c r="R11" s="50" t="s">
        <v>304</v>
      </c>
      <c r="S11" s="50" t="s">
        <v>297</v>
      </c>
    </row>
    <row r="12" spans="2:19" x14ac:dyDescent="0.35">
      <c r="B12" s="52" t="s">
        <v>98</v>
      </c>
      <c r="C12" s="27" t="s">
        <v>228</v>
      </c>
      <c r="D12" s="51">
        <v>25</v>
      </c>
      <c r="E12" s="51" t="s">
        <v>299</v>
      </c>
      <c r="F12" s="51">
        <f>D12/50</f>
        <v>0.5</v>
      </c>
      <c r="G12" s="51">
        <v>50</v>
      </c>
      <c r="H12" s="51">
        <f>G12/'MK-CPL'!O82</f>
        <v>0.13473336267526564</v>
      </c>
      <c r="I12" s="51">
        <f>F12*H12</f>
        <v>6.7366681337632822E-2</v>
      </c>
      <c r="L12" s="52" t="s">
        <v>176</v>
      </c>
      <c r="M12" s="27" t="s">
        <v>228</v>
      </c>
      <c r="N12" s="51">
        <v>20</v>
      </c>
      <c r="O12" s="55" t="s">
        <v>338</v>
      </c>
      <c r="P12" s="51">
        <f>N12/Q12</f>
        <v>0.4</v>
      </c>
      <c r="Q12" s="55">
        <v>50</v>
      </c>
      <c r="R12" s="55">
        <f>Q12/'MK-CPL'!H82</f>
        <v>4.0125190594655337E-2</v>
      </c>
      <c r="S12" s="51">
        <f>P12*R12</f>
        <v>1.6050076237862136E-2</v>
      </c>
    </row>
    <row r="13" spans="2:19" x14ac:dyDescent="0.35">
      <c r="B13" s="53"/>
      <c r="C13" s="27" t="s">
        <v>229</v>
      </c>
      <c r="D13" s="51">
        <v>25</v>
      </c>
      <c r="E13" s="55" t="s">
        <v>301</v>
      </c>
      <c r="F13" s="51">
        <f>D13/50</f>
        <v>0.5</v>
      </c>
      <c r="G13" s="55">
        <v>50</v>
      </c>
      <c r="H13" s="56">
        <f>G13/'MK-CPL'!N82</f>
        <v>7.8397758869399772E-2</v>
      </c>
      <c r="I13" s="51">
        <f>F13*H13</f>
        <v>3.9198879434699886E-2</v>
      </c>
      <c r="L13" s="53"/>
      <c r="M13" s="27" t="s">
        <v>229</v>
      </c>
      <c r="N13" s="51">
        <v>20</v>
      </c>
      <c r="O13" s="55" t="s">
        <v>327</v>
      </c>
      <c r="P13" s="51">
        <f>N13/Q12</f>
        <v>0.4</v>
      </c>
      <c r="Q13" s="55">
        <v>50</v>
      </c>
      <c r="R13" s="55">
        <f>Q13/'MK-CPL'!K82</f>
        <v>3.3796800118964743E-2</v>
      </c>
      <c r="S13" s="51">
        <f>P13*R13</f>
        <v>1.3518720047585898E-2</v>
      </c>
    </row>
    <row r="14" spans="2:19" x14ac:dyDescent="0.35">
      <c r="B14" s="53"/>
      <c r="C14" s="27" t="s">
        <v>230</v>
      </c>
      <c r="D14" s="51">
        <v>25</v>
      </c>
      <c r="E14" s="55" t="s">
        <v>299</v>
      </c>
      <c r="F14" s="51">
        <f>D14/50</f>
        <v>0.5</v>
      </c>
      <c r="G14" s="55">
        <v>50</v>
      </c>
      <c r="H14" s="56">
        <f>G14/'MK-CPL'!O82</f>
        <v>0.13473336267526564</v>
      </c>
      <c r="I14" s="51">
        <f>F14*H14</f>
        <v>6.7366681337632822E-2</v>
      </c>
      <c r="L14" s="53"/>
      <c r="M14" s="27" t="s">
        <v>230</v>
      </c>
      <c r="N14" s="51">
        <v>20</v>
      </c>
      <c r="O14" s="55" t="s">
        <v>338</v>
      </c>
      <c r="P14" s="51">
        <f>N14/Q14</f>
        <v>0.4</v>
      </c>
      <c r="Q14" s="55">
        <v>50</v>
      </c>
      <c r="R14" s="55">
        <f>Q14/'MK-CPL'!H82</f>
        <v>4.0125190594655337E-2</v>
      </c>
      <c r="S14" s="51">
        <f>P14*R14</f>
        <v>1.6050076237862136E-2</v>
      </c>
    </row>
    <row r="15" spans="2:19" x14ac:dyDescent="0.35">
      <c r="B15" s="54"/>
      <c r="C15" s="27" t="s">
        <v>231</v>
      </c>
      <c r="D15" s="51">
        <v>25</v>
      </c>
      <c r="E15" s="51" t="s">
        <v>301</v>
      </c>
      <c r="F15" s="51">
        <f>D15/50</f>
        <v>0.5</v>
      </c>
      <c r="G15" s="51">
        <v>50</v>
      </c>
      <c r="H15" s="51">
        <f>G15/'MK-CPL'!N82</f>
        <v>7.8397758869399772E-2</v>
      </c>
      <c r="I15" s="51">
        <f>F15*H15</f>
        <v>3.9198879434699886E-2</v>
      </c>
      <c r="L15" s="53"/>
      <c r="M15" s="27" t="s">
        <v>231</v>
      </c>
      <c r="N15" s="51">
        <v>20</v>
      </c>
      <c r="O15" s="49" t="s">
        <v>327</v>
      </c>
      <c r="P15" s="51">
        <f>N15/Q15</f>
        <v>0.4</v>
      </c>
      <c r="Q15" s="52">
        <v>50</v>
      </c>
      <c r="R15" s="49">
        <f>Q15/'MK-CPL'!K82</f>
        <v>3.3796800118964743E-2</v>
      </c>
      <c r="S15" s="51">
        <f>P15*R15</f>
        <v>1.3518720047585898E-2</v>
      </c>
    </row>
    <row r="16" spans="2:19" x14ac:dyDescent="0.35">
      <c r="L16" s="54"/>
      <c r="M16" s="27" t="s">
        <v>232</v>
      </c>
      <c r="N16" s="51">
        <v>20</v>
      </c>
      <c r="O16" s="49"/>
      <c r="P16" s="51">
        <f>N16/Q15</f>
        <v>0.4</v>
      </c>
      <c r="Q16" s="54"/>
      <c r="R16" s="49"/>
      <c r="S16" s="51">
        <f>P16*R15</f>
        <v>1.3518720047585898E-2</v>
      </c>
    </row>
    <row r="18" spans="2:19" ht="58" x14ac:dyDescent="0.35">
      <c r="B18" s="50" t="s">
        <v>93</v>
      </c>
      <c r="C18" s="50" t="s">
        <v>296</v>
      </c>
      <c r="D18" s="50" t="s">
        <v>297</v>
      </c>
      <c r="E18" s="50" t="s">
        <v>298</v>
      </c>
      <c r="F18" s="50" t="s">
        <v>302</v>
      </c>
      <c r="G18" s="50" t="s">
        <v>303</v>
      </c>
      <c r="H18" s="50" t="s">
        <v>304</v>
      </c>
      <c r="I18" s="50" t="s">
        <v>297</v>
      </c>
      <c r="L18" s="50" t="s">
        <v>93</v>
      </c>
      <c r="M18" s="50" t="s">
        <v>296</v>
      </c>
      <c r="N18" s="50" t="s">
        <v>297</v>
      </c>
      <c r="O18" s="50" t="s">
        <v>298</v>
      </c>
      <c r="P18" s="50" t="s">
        <v>302</v>
      </c>
      <c r="Q18" s="50" t="s">
        <v>303</v>
      </c>
      <c r="R18" s="50" t="s">
        <v>304</v>
      </c>
      <c r="S18" s="50" t="s">
        <v>297</v>
      </c>
    </row>
    <row r="19" spans="2:19" x14ac:dyDescent="0.35">
      <c r="B19" s="52" t="s">
        <v>99</v>
      </c>
      <c r="C19" s="27" t="s">
        <v>228</v>
      </c>
      <c r="D19" s="51">
        <v>20</v>
      </c>
      <c r="E19" s="51" t="s">
        <v>314</v>
      </c>
      <c r="F19" s="51">
        <f>D19/50</f>
        <v>0.4</v>
      </c>
      <c r="G19" s="52">
        <v>50</v>
      </c>
      <c r="H19" s="52">
        <f>G19/'MK-CPL'!G82</f>
        <v>7.0148855872160715E-2</v>
      </c>
      <c r="I19" s="51">
        <f>F19*H19</f>
        <v>2.8059542348864288E-2</v>
      </c>
      <c r="L19" s="52" t="s">
        <v>178</v>
      </c>
      <c r="M19" s="27" t="s">
        <v>228</v>
      </c>
      <c r="N19" s="51">
        <v>20</v>
      </c>
      <c r="O19" s="52" t="s">
        <v>395</v>
      </c>
      <c r="P19" s="51">
        <f>N19/Q19</f>
        <v>0.4</v>
      </c>
      <c r="Q19" s="52">
        <v>50</v>
      </c>
      <c r="R19" s="52">
        <f>Q19/'MK-CPL'!M82</f>
        <v>0.19650998270712153</v>
      </c>
      <c r="S19" s="51">
        <f>P19*R19</f>
        <v>7.8603993082848614E-2</v>
      </c>
    </row>
    <row r="20" spans="2:19" x14ac:dyDescent="0.35">
      <c r="B20" s="53"/>
      <c r="C20" s="27" t="s">
        <v>229</v>
      </c>
      <c r="D20" s="51">
        <v>20</v>
      </c>
      <c r="E20" s="55" t="s">
        <v>314</v>
      </c>
      <c r="F20" s="51">
        <f>D20/50</f>
        <v>0.4</v>
      </c>
      <c r="G20" s="54"/>
      <c r="H20" s="54"/>
      <c r="I20" s="51">
        <f>F20*H19</f>
        <v>2.8059542348864288E-2</v>
      </c>
      <c r="L20" s="53"/>
      <c r="M20" s="27" t="s">
        <v>229</v>
      </c>
      <c r="N20" s="51">
        <v>20</v>
      </c>
      <c r="O20" s="53"/>
      <c r="P20" s="51">
        <f>N20/Q19</f>
        <v>0.4</v>
      </c>
      <c r="Q20" s="53"/>
      <c r="R20" s="53"/>
      <c r="S20" s="51">
        <f>P20*R19</f>
        <v>7.8603993082848614E-2</v>
      </c>
    </row>
    <row r="21" spans="2:19" x14ac:dyDescent="0.35">
      <c r="B21" s="53"/>
      <c r="C21" s="27" t="s">
        <v>230</v>
      </c>
      <c r="D21" s="51">
        <v>20</v>
      </c>
      <c r="E21" s="55" t="s">
        <v>315</v>
      </c>
      <c r="F21" s="51">
        <f>D21/50</f>
        <v>0.4</v>
      </c>
      <c r="G21" s="52">
        <v>50</v>
      </c>
      <c r="H21" s="52">
        <f>G21/'MK-CPL'!J82</f>
        <v>8.7548808460716845E-2</v>
      </c>
      <c r="I21" s="51">
        <f>F21*H21</f>
        <v>3.5019523384286738E-2</v>
      </c>
      <c r="L21" s="53"/>
      <c r="M21" s="27" t="s">
        <v>230</v>
      </c>
      <c r="N21" s="51">
        <v>20</v>
      </c>
      <c r="O21" s="53"/>
      <c r="P21" s="51">
        <f>N21/Q19</f>
        <v>0.4</v>
      </c>
      <c r="Q21" s="53"/>
      <c r="R21" s="53"/>
      <c r="S21" s="51">
        <f>P21*R19</f>
        <v>7.8603993082848614E-2</v>
      </c>
    </row>
    <row r="22" spans="2:19" x14ac:dyDescent="0.35">
      <c r="B22" s="53"/>
      <c r="C22" s="27" t="s">
        <v>231</v>
      </c>
      <c r="D22" s="51">
        <v>20</v>
      </c>
      <c r="E22" s="51" t="s">
        <v>315</v>
      </c>
      <c r="F22" s="51">
        <f>D22/50</f>
        <v>0.4</v>
      </c>
      <c r="G22" s="53"/>
      <c r="H22" s="53"/>
      <c r="I22" s="51">
        <f>F22*H21</f>
        <v>3.5019523384286738E-2</v>
      </c>
      <c r="L22" s="53"/>
      <c r="M22" s="27" t="s">
        <v>231</v>
      </c>
      <c r="N22" s="51">
        <v>20</v>
      </c>
      <c r="O22" s="54"/>
      <c r="P22" s="51">
        <f>N22/Q19</f>
        <v>0.4</v>
      </c>
      <c r="Q22" s="53"/>
      <c r="R22" s="54"/>
      <c r="S22" s="51">
        <f>P22*R19</f>
        <v>7.8603993082848614E-2</v>
      </c>
    </row>
    <row r="23" spans="2:19" x14ac:dyDescent="0.35">
      <c r="B23" s="54"/>
      <c r="C23" s="27" t="s">
        <v>232</v>
      </c>
      <c r="D23" s="51">
        <v>20</v>
      </c>
      <c r="E23" s="51" t="s">
        <v>315</v>
      </c>
      <c r="F23" s="51">
        <f>D23/50</f>
        <v>0.4</v>
      </c>
      <c r="G23" s="54"/>
      <c r="H23" s="54"/>
      <c r="I23" s="51">
        <f>F23*H21</f>
        <v>3.5019523384286738E-2</v>
      </c>
      <c r="L23" s="54"/>
      <c r="M23" s="27" t="s">
        <v>232</v>
      </c>
      <c r="N23" s="51">
        <v>20</v>
      </c>
      <c r="O23" s="55" t="s">
        <v>301</v>
      </c>
      <c r="P23" s="51">
        <f>N23/Q23</f>
        <v>0.4</v>
      </c>
      <c r="Q23" s="55">
        <v>50</v>
      </c>
      <c r="R23" s="56">
        <f>Q23/'MK-CPL'!N82</f>
        <v>7.8397758869399772E-2</v>
      </c>
      <c r="S23" s="51">
        <f>P23*R23</f>
        <v>3.1359103547759913E-2</v>
      </c>
    </row>
    <row r="26" spans="2:19" ht="58" x14ac:dyDescent="0.35">
      <c r="B26" s="50" t="s">
        <v>93</v>
      </c>
      <c r="C26" s="50" t="s">
        <v>296</v>
      </c>
      <c r="D26" s="50" t="s">
        <v>297</v>
      </c>
      <c r="E26" s="50" t="s">
        <v>298</v>
      </c>
      <c r="F26" s="50" t="s">
        <v>302</v>
      </c>
      <c r="G26" s="50" t="s">
        <v>303</v>
      </c>
      <c r="H26" s="50" t="s">
        <v>304</v>
      </c>
      <c r="I26" s="50" t="s">
        <v>297</v>
      </c>
      <c r="L26" s="50" t="s">
        <v>93</v>
      </c>
      <c r="M26" s="50" t="s">
        <v>296</v>
      </c>
      <c r="N26" s="50" t="s">
        <v>297</v>
      </c>
      <c r="O26" s="50" t="s">
        <v>298</v>
      </c>
      <c r="P26" s="50" t="s">
        <v>302</v>
      </c>
      <c r="Q26" s="50" t="s">
        <v>303</v>
      </c>
      <c r="R26" s="50" t="s">
        <v>304</v>
      </c>
      <c r="S26" s="50" t="s">
        <v>297</v>
      </c>
    </row>
    <row r="27" spans="2:19" x14ac:dyDescent="0.35">
      <c r="B27" s="52" t="s">
        <v>100</v>
      </c>
      <c r="C27" s="27" t="s">
        <v>228</v>
      </c>
      <c r="D27" s="51">
        <v>25</v>
      </c>
      <c r="E27" s="52" t="s">
        <v>316</v>
      </c>
      <c r="F27" s="51">
        <f>D27/G27</f>
        <v>0.25</v>
      </c>
      <c r="G27" s="52">
        <v>100</v>
      </c>
      <c r="H27" s="52">
        <f>G27/'MK-CPL'!L82</f>
        <v>0.26946188461642101</v>
      </c>
      <c r="I27" s="51">
        <f>F27*H27</f>
        <v>6.7365471154105253E-2</v>
      </c>
      <c r="L27" s="62" t="s">
        <v>180</v>
      </c>
      <c r="M27" s="27" t="s">
        <v>228</v>
      </c>
      <c r="N27" s="51">
        <v>20</v>
      </c>
      <c r="O27" s="52" t="s">
        <v>338</v>
      </c>
      <c r="P27" s="51">
        <f>N27/Q27</f>
        <v>0.4</v>
      </c>
      <c r="Q27" s="52">
        <v>50</v>
      </c>
      <c r="R27" s="52">
        <f>Q27/'MK-CPL'!H82</f>
        <v>4.0125190594655337E-2</v>
      </c>
      <c r="S27" s="51">
        <f>P27*R27</f>
        <v>1.6050076237862136E-2</v>
      </c>
    </row>
    <row r="28" spans="2:19" x14ac:dyDescent="0.35">
      <c r="B28" s="53"/>
      <c r="C28" s="27" t="s">
        <v>229</v>
      </c>
      <c r="D28" s="51">
        <v>25</v>
      </c>
      <c r="E28" s="53"/>
      <c r="F28" s="51">
        <f>D28/G27</f>
        <v>0.25</v>
      </c>
      <c r="G28" s="53"/>
      <c r="H28" s="53"/>
      <c r="I28" s="51">
        <f>F28*H27</f>
        <v>6.7365471154105253E-2</v>
      </c>
      <c r="L28" s="63"/>
      <c r="M28" s="27" t="s">
        <v>229</v>
      </c>
      <c r="N28" s="51">
        <v>20</v>
      </c>
      <c r="O28" s="53"/>
      <c r="P28" s="51">
        <f>N28/Q27</f>
        <v>0.4</v>
      </c>
      <c r="Q28" s="53"/>
      <c r="R28" s="53"/>
      <c r="S28" s="51">
        <f>P28*R27</f>
        <v>1.6050076237862136E-2</v>
      </c>
    </row>
    <row r="29" spans="2:19" x14ac:dyDescent="0.35">
      <c r="B29" s="53"/>
      <c r="C29" s="27" t="s">
        <v>230</v>
      </c>
      <c r="D29" s="51">
        <v>25</v>
      </c>
      <c r="E29" s="53"/>
      <c r="F29" s="51">
        <f>D29/G27</f>
        <v>0.25</v>
      </c>
      <c r="G29" s="53"/>
      <c r="H29" s="53"/>
      <c r="I29" s="51">
        <f>F29*H27</f>
        <v>6.7365471154105253E-2</v>
      </c>
      <c r="L29" s="63"/>
      <c r="M29" s="27" t="s">
        <v>230</v>
      </c>
      <c r="N29" s="51">
        <v>20</v>
      </c>
      <c r="O29" s="53"/>
      <c r="P29" s="51">
        <f>N29/Q27</f>
        <v>0.4</v>
      </c>
      <c r="Q29" s="53"/>
      <c r="R29" s="53"/>
      <c r="S29" s="51">
        <f>P29*R27</f>
        <v>1.6050076237862136E-2</v>
      </c>
    </row>
    <row r="30" spans="2:19" x14ac:dyDescent="0.35">
      <c r="B30" s="54"/>
      <c r="C30" s="27" t="s">
        <v>231</v>
      </c>
      <c r="D30" s="51">
        <v>25</v>
      </c>
      <c r="E30" s="54"/>
      <c r="F30" s="51">
        <f>D30/G27</f>
        <v>0.25</v>
      </c>
      <c r="G30" s="54"/>
      <c r="H30" s="54"/>
      <c r="I30" s="51">
        <f>F30*H27</f>
        <v>6.7365471154105253E-2</v>
      </c>
      <c r="L30" s="63"/>
      <c r="M30" s="27" t="s">
        <v>231</v>
      </c>
      <c r="N30" s="51">
        <v>20</v>
      </c>
      <c r="O30" s="54"/>
      <c r="P30" s="51">
        <f>N30/Q27</f>
        <v>0.4</v>
      </c>
      <c r="Q30" s="53"/>
      <c r="R30" s="54"/>
      <c r="S30" s="51">
        <f>P30*R27</f>
        <v>1.6050076237862136E-2</v>
      </c>
    </row>
    <row r="31" spans="2:19" x14ac:dyDescent="0.35">
      <c r="L31" s="64"/>
      <c r="M31" s="27" t="s">
        <v>232</v>
      </c>
      <c r="N31" s="51">
        <v>20</v>
      </c>
      <c r="O31" s="55" t="s">
        <v>301</v>
      </c>
      <c r="P31" s="51">
        <f>N31/Q31</f>
        <v>0.4</v>
      </c>
      <c r="Q31" s="55">
        <v>50</v>
      </c>
      <c r="R31" s="56">
        <f>Q31/'MK-CPL'!N82</f>
        <v>7.8397758869399772E-2</v>
      </c>
      <c r="S31" s="51">
        <f>P31*R31</f>
        <v>3.1359103547759913E-2</v>
      </c>
    </row>
    <row r="33" spans="2:19" ht="58" x14ac:dyDescent="0.35">
      <c r="B33" s="50" t="s">
        <v>93</v>
      </c>
      <c r="C33" s="50" t="s">
        <v>296</v>
      </c>
      <c r="D33" s="50" t="s">
        <v>297</v>
      </c>
      <c r="E33" s="50" t="s">
        <v>298</v>
      </c>
      <c r="F33" s="50" t="s">
        <v>302</v>
      </c>
      <c r="G33" s="50" t="s">
        <v>303</v>
      </c>
      <c r="H33" s="50" t="s">
        <v>304</v>
      </c>
      <c r="I33" s="50" t="s">
        <v>297</v>
      </c>
      <c r="L33" s="50" t="s">
        <v>93</v>
      </c>
      <c r="M33" s="50" t="s">
        <v>296</v>
      </c>
      <c r="N33" s="50" t="s">
        <v>297</v>
      </c>
      <c r="O33" s="50" t="s">
        <v>298</v>
      </c>
      <c r="P33" s="50" t="s">
        <v>302</v>
      </c>
      <c r="Q33" s="50" t="s">
        <v>303</v>
      </c>
      <c r="R33" s="50" t="s">
        <v>304</v>
      </c>
      <c r="S33" s="50" t="s">
        <v>297</v>
      </c>
    </row>
    <row r="34" spans="2:19" x14ac:dyDescent="0.35">
      <c r="B34" s="52" t="s">
        <v>101</v>
      </c>
      <c r="C34" s="27" t="s">
        <v>228</v>
      </c>
      <c r="D34" s="51">
        <v>25</v>
      </c>
      <c r="E34" s="52" t="s">
        <v>316</v>
      </c>
      <c r="F34" s="51">
        <f>D34/G34</f>
        <v>0.5</v>
      </c>
      <c r="G34" s="52">
        <v>50</v>
      </c>
      <c r="H34" s="52">
        <f>G34/'MK-CPL'!L82</f>
        <v>0.13473094230821051</v>
      </c>
      <c r="I34" s="51">
        <f>F34*H34</f>
        <v>6.7365471154105253E-2</v>
      </c>
      <c r="L34" s="62" t="s">
        <v>182</v>
      </c>
      <c r="M34" s="27" t="s">
        <v>228</v>
      </c>
      <c r="N34" s="51">
        <v>20</v>
      </c>
      <c r="O34" s="55" t="s">
        <v>338</v>
      </c>
      <c r="P34" s="51">
        <f>N34/Q34</f>
        <v>0.4</v>
      </c>
      <c r="Q34" s="55">
        <v>50</v>
      </c>
      <c r="R34" s="55">
        <f>Q34/'MK-CPL'!H82</f>
        <v>4.0125190594655337E-2</v>
      </c>
      <c r="S34" s="51">
        <f>P34*R34</f>
        <v>1.6050076237862136E-2</v>
      </c>
    </row>
    <row r="35" spans="2:19" x14ac:dyDescent="0.35">
      <c r="B35" s="53"/>
      <c r="C35" s="27" t="s">
        <v>229</v>
      </c>
      <c r="D35" s="51">
        <v>25</v>
      </c>
      <c r="E35" s="53"/>
      <c r="F35" s="51">
        <f>D35/G34</f>
        <v>0.5</v>
      </c>
      <c r="G35" s="53"/>
      <c r="H35" s="53"/>
      <c r="I35" s="51">
        <f>F35*H34</f>
        <v>6.7365471154105253E-2</v>
      </c>
      <c r="L35" s="63"/>
      <c r="M35" s="27" t="s">
        <v>229</v>
      </c>
      <c r="N35" s="51">
        <v>20</v>
      </c>
      <c r="O35" s="49" t="s">
        <v>327</v>
      </c>
      <c r="P35" s="51">
        <f>N35/Q34</f>
        <v>0.4</v>
      </c>
      <c r="Q35" s="49">
        <v>50</v>
      </c>
      <c r="R35" s="49">
        <f>Q35/'MK-CPL'!K82</f>
        <v>3.3796800118964743E-2</v>
      </c>
      <c r="S35" s="51">
        <f>P35*R35</f>
        <v>1.3518720047585898E-2</v>
      </c>
    </row>
    <row r="36" spans="2:19" x14ac:dyDescent="0.35">
      <c r="B36" s="53"/>
      <c r="C36" s="27" t="s">
        <v>230</v>
      </c>
      <c r="D36" s="51">
        <v>25</v>
      </c>
      <c r="E36" s="54"/>
      <c r="F36" s="51">
        <f>D36/G34</f>
        <v>0.5</v>
      </c>
      <c r="G36" s="54"/>
      <c r="H36" s="54"/>
      <c r="I36" s="51">
        <f>F36*H34</f>
        <v>6.7365471154105253E-2</v>
      </c>
      <c r="L36" s="63"/>
      <c r="M36" s="27" t="s">
        <v>230</v>
      </c>
      <c r="N36" s="51">
        <v>20</v>
      </c>
      <c r="O36" s="49"/>
      <c r="P36" s="51">
        <f>N36/Q34</f>
        <v>0.4</v>
      </c>
      <c r="Q36" s="49"/>
      <c r="R36" s="49"/>
      <c r="S36" s="51">
        <f>P36*R35</f>
        <v>1.3518720047585898E-2</v>
      </c>
    </row>
    <row r="37" spans="2:19" x14ac:dyDescent="0.35">
      <c r="B37" s="54"/>
      <c r="C37" s="27" t="s">
        <v>231</v>
      </c>
      <c r="D37" s="51">
        <v>25</v>
      </c>
      <c r="E37" s="51" t="s">
        <v>300</v>
      </c>
      <c r="F37" s="51">
        <f>D37/G37</f>
        <v>0.5</v>
      </c>
      <c r="G37" s="51">
        <v>50</v>
      </c>
      <c r="H37" s="51">
        <f>G37/'MK-CPL'!P82</f>
        <v>0.17045454545454544</v>
      </c>
      <c r="I37" s="51">
        <f>F37*H37</f>
        <v>8.5227272727272721E-2</v>
      </c>
      <c r="L37" s="63"/>
      <c r="M37" s="27" t="s">
        <v>231</v>
      </c>
      <c r="N37" s="51">
        <v>20</v>
      </c>
      <c r="O37" s="49" t="s">
        <v>338</v>
      </c>
      <c r="P37" s="51">
        <f>N37/Q34</f>
        <v>0.4</v>
      </c>
      <c r="Q37" s="49">
        <v>50</v>
      </c>
      <c r="R37" s="49">
        <f>Q37/'MK-CPL'!H82</f>
        <v>4.0125190594655337E-2</v>
      </c>
      <c r="S37" s="51">
        <f>P37*R37</f>
        <v>1.6050076237862136E-2</v>
      </c>
    </row>
    <row r="38" spans="2:19" x14ac:dyDescent="0.35">
      <c r="L38" s="64"/>
      <c r="M38" s="27" t="s">
        <v>232</v>
      </c>
      <c r="N38" s="51">
        <v>20</v>
      </c>
      <c r="O38" s="49"/>
      <c r="P38" s="51">
        <f>N38/Q37</f>
        <v>0.4</v>
      </c>
      <c r="Q38" s="49"/>
      <c r="R38" s="49"/>
      <c r="S38" s="51">
        <f>P38*R37</f>
        <v>1.6050076237862136E-2</v>
      </c>
    </row>
    <row r="40" spans="2:19" ht="58" x14ac:dyDescent="0.35">
      <c r="B40" s="50" t="s">
        <v>93</v>
      </c>
      <c r="C40" s="50" t="s">
        <v>296</v>
      </c>
      <c r="D40" s="50" t="s">
        <v>297</v>
      </c>
      <c r="E40" s="50" t="s">
        <v>298</v>
      </c>
      <c r="F40" s="50" t="s">
        <v>302</v>
      </c>
      <c r="G40" s="50" t="s">
        <v>303</v>
      </c>
      <c r="H40" s="50" t="s">
        <v>304</v>
      </c>
      <c r="I40" s="50" t="s">
        <v>297</v>
      </c>
      <c r="L40" s="50" t="s">
        <v>93</v>
      </c>
      <c r="M40" s="50" t="s">
        <v>296</v>
      </c>
      <c r="N40" s="50" t="s">
        <v>297</v>
      </c>
      <c r="O40" s="50" t="s">
        <v>298</v>
      </c>
      <c r="P40" s="50" t="s">
        <v>302</v>
      </c>
      <c r="Q40" s="50" t="s">
        <v>303</v>
      </c>
      <c r="R40" s="50" t="s">
        <v>304</v>
      </c>
      <c r="S40" s="50" t="s">
        <v>297</v>
      </c>
    </row>
    <row r="41" spans="2:19" x14ac:dyDescent="0.35">
      <c r="B41" s="52" t="s">
        <v>325</v>
      </c>
      <c r="C41" s="27" t="s">
        <v>228</v>
      </c>
      <c r="D41" s="51">
        <v>25</v>
      </c>
      <c r="E41" s="51" t="s">
        <v>314</v>
      </c>
      <c r="F41" s="51">
        <f>D41/50</f>
        <v>0.5</v>
      </c>
      <c r="G41" s="51">
        <v>50</v>
      </c>
      <c r="H41" s="51">
        <f>G41/'MK-CPL'!G82</f>
        <v>7.0148855872160715E-2</v>
      </c>
      <c r="I41" s="51">
        <f>F41*H41</f>
        <v>3.5074427936080357E-2</v>
      </c>
      <c r="L41" s="62" t="s">
        <v>184</v>
      </c>
      <c r="M41" s="27" t="s">
        <v>228</v>
      </c>
      <c r="N41" s="51">
        <v>20</v>
      </c>
      <c r="O41" s="52" t="s">
        <v>315</v>
      </c>
      <c r="P41" s="51">
        <f>N41/Q41</f>
        <v>0.4</v>
      </c>
      <c r="Q41" s="52">
        <v>50</v>
      </c>
      <c r="R41" s="52">
        <f>Q41/'MK-CPL'!J82</f>
        <v>8.7548808460716845E-2</v>
      </c>
      <c r="S41" s="51">
        <f>P41*R41</f>
        <v>3.5019523384286738E-2</v>
      </c>
    </row>
    <row r="42" spans="2:19" x14ac:dyDescent="0.35">
      <c r="B42" s="53"/>
      <c r="C42" s="27" t="s">
        <v>229</v>
      </c>
      <c r="D42" s="51">
        <v>25</v>
      </c>
      <c r="E42" s="52" t="s">
        <v>327</v>
      </c>
      <c r="F42" s="51">
        <f>D42/50</f>
        <v>0.5</v>
      </c>
      <c r="G42" s="52">
        <v>50</v>
      </c>
      <c r="H42" s="52">
        <f>G42/'MK-CPL'!K82</f>
        <v>3.3796800118964743E-2</v>
      </c>
      <c r="I42" s="51">
        <f>F42*H42</f>
        <v>1.6898400059482371E-2</v>
      </c>
      <c r="L42" s="63"/>
      <c r="M42" s="27" t="s">
        <v>229</v>
      </c>
      <c r="N42" s="51">
        <v>20</v>
      </c>
      <c r="O42" s="54"/>
      <c r="P42" s="51">
        <f>N42/Q41</f>
        <v>0.4</v>
      </c>
      <c r="Q42" s="54"/>
      <c r="R42" s="54"/>
      <c r="S42" s="51">
        <f>P42*R41</f>
        <v>3.5019523384286738E-2</v>
      </c>
    </row>
    <row r="43" spans="2:19" x14ac:dyDescent="0.35">
      <c r="B43" s="53"/>
      <c r="C43" s="27" t="s">
        <v>230</v>
      </c>
      <c r="D43" s="51">
        <v>25</v>
      </c>
      <c r="E43" s="53"/>
      <c r="F43" s="51">
        <f>D43/50</f>
        <v>0.5</v>
      </c>
      <c r="G43" s="53"/>
      <c r="H43" s="53"/>
      <c r="I43" s="51">
        <f>F43*H42</f>
        <v>1.6898400059482371E-2</v>
      </c>
      <c r="L43" s="63"/>
      <c r="M43" s="27" t="s">
        <v>230</v>
      </c>
      <c r="N43" s="51">
        <v>20</v>
      </c>
      <c r="O43" s="52" t="s">
        <v>327</v>
      </c>
      <c r="P43" s="51">
        <f>N43/Q41</f>
        <v>0.4</v>
      </c>
      <c r="Q43" s="52">
        <v>50</v>
      </c>
      <c r="R43" s="52">
        <f>Q43/'MK-CPL'!K82</f>
        <v>3.3796800118964743E-2</v>
      </c>
      <c r="S43" s="51">
        <f>P43*R43</f>
        <v>1.3518720047585898E-2</v>
      </c>
    </row>
    <row r="44" spans="2:19" x14ac:dyDescent="0.35">
      <c r="B44" s="54"/>
      <c r="C44" s="27" t="s">
        <v>231</v>
      </c>
      <c r="D44" s="51">
        <v>25</v>
      </c>
      <c r="E44" s="54"/>
      <c r="F44" s="51">
        <f>D44/50</f>
        <v>0.5</v>
      </c>
      <c r="G44" s="54"/>
      <c r="H44" s="54"/>
      <c r="I44" s="51">
        <f>F44*H42</f>
        <v>1.6898400059482371E-2</v>
      </c>
      <c r="L44" s="63"/>
      <c r="M44" s="27" t="s">
        <v>231</v>
      </c>
      <c r="N44" s="51">
        <v>20</v>
      </c>
      <c r="O44" s="53"/>
      <c r="P44" s="51">
        <f>N44/Q41</f>
        <v>0.4</v>
      </c>
      <c r="Q44" s="53"/>
      <c r="R44" s="53"/>
      <c r="S44" s="51">
        <f>P44*R43</f>
        <v>1.3518720047585898E-2</v>
      </c>
    </row>
    <row r="45" spans="2:19" x14ac:dyDescent="0.35">
      <c r="L45" s="64"/>
      <c r="M45" s="27" t="s">
        <v>232</v>
      </c>
      <c r="N45" s="51">
        <v>20</v>
      </c>
      <c r="O45" s="54"/>
      <c r="P45" s="51">
        <f>N45/Q43</f>
        <v>0.4</v>
      </c>
      <c r="Q45" s="54"/>
      <c r="R45" s="54"/>
      <c r="S45" s="51">
        <f>P45*R43</f>
        <v>1.3518720047585898E-2</v>
      </c>
    </row>
    <row r="47" spans="2:19" ht="58" x14ac:dyDescent="0.35">
      <c r="B47" s="50" t="s">
        <v>93</v>
      </c>
      <c r="C47" s="50" t="s">
        <v>296</v>
      </c>
      <c r="D47" s="50" t="s">
        <v>297</v>
      </c>
      <c r="E47" s="50" t="s">
        <v>298</v>
      </c>
      <c r="F47" s="50" t="s">
        <v>302</v>
      </c>
      <c r="G47" s="50" t="s">
        <v>303</v>
      </c>
      <c r="H47" s="50" t="s">
        <v>304</v>
      </c>
      <c r="I47" s="50" t="s">
        <v>297</v>
      </c>
      <c r="L47" s="50" t="s">
        <v>93</v>
      </c>
      <c r="M47" s="50" t="s">
        <v>296</v>
      </c>
      <c r="N47" s="50" t="s">
        <v>297</v>
      </c>
      <c r="O47" s="50" t="s">
        <v>298</v>
      </c>
      <c r="P47" s="50" t="s">
        <v>302</v>
      </c>
      <c r="Q47" s="50" t="s">
        <v>303</v>
      </c>
      <c r="R47" s="50" t="s">
        <v>304</v>
      </c>
      <c r="S47" s="50" t="s">
        <v>297</v>
      </c>
    </row>
    <row r="48" spans="2:19" x14ac:dyDescent="0.35">
      <c r="B48" s="52" t="s">
        <v>103</v>
      </c>
      <c r="C48" s="27" t="s">
        <v>228</v>
      </c>
      <c r="D48" s="51">
        <v>20</v>
      </c>
      <c r="E48" s="51" t="s">
        <v>314</v>
      </c>
      <c r="F48" s="51">
        <f>D48/50</f>
        <v>0.4</v>
      </c>
      <c r="G48" s="51">
        <v>50</v>
      </c>
      <c r="H48" s="51">
        <f>G48/'MK-CPL'!G82</f>
        <v>7.0148855872160715E-2</v>
      </c>
      <c r="I48" s="51">
        <f>F48*H48</f>
        <v>2.8059542348864288E-2</v>
      </c>
      <c r="L48" s="62" t="s">
        <v>186</v>
      </c>
      <c r="M48" s="27" t="s">
        <v>228</v>
      </c>
      <c r="N48" s="51">
        <v>20</v>
      </c>
      <c r="O48" s="49" t="s">
        <v>338</v>
      </c>
      <c r="P48" s="51">
        <f>N48/Q48</f>
        <v>0.4</v>
      </c>
      <c r="Q48" s="49">
        <v>50</v>
      </c>
      <c r="R48" s="49">
        <f>Q48/'MK-CPL'!H82</f>
        <v>4.0125190594655337E-2</v>
      </c>
      <c r="S48" s="51">
        <f>P48*R48</f>
        <v>1.6050076237862136E-2</v>
      </c>
    </row>
    <row r="49" spans="2:19" x14ac:dyDescent="0.35">
      <c r="B49" s="53"/>
      <c r="C49" s="27" t="s">
        <v>229</v>
      </c>
      <c r="D49" s="51">
        <v>20</v>
      </c>
      <c r="E49" s="52" t="s">
        <v>315</v>
      </c>
      <c r="F49" s="51">
        <f>D49/50</f>
        <v>0.4</v>
      </c>
      <c r="G49" s="52">
        <v>50</v>
      </c>
      <c r="H49" s="52">
        <f>G49/'MK-CPL'!J82</f>
        <v>8.7548808460716845E-2</v>
      </c>
      <c r="I49" s="51">
        <f>F49*H49</f>
        <v>3.5019523384286738E-2</v>
      </c>
      <c r="L49" s="63"/>
      <c r="M49" s="27" t="s">
        <v>229</v>
      </c>
      <c r="N49" s="51">
        <v>20</v>
      </c>
      <c r="O49" s="49"/>
      <c r="P49" s="51">
        <f>N49/Q48</f>
        <v>0.4</v>
      </c>
      <c r="Q49" s="49"/>
      <c r="R49" s="49"/>
      <c r="S49" s="51">
        <f>P49*R48</f>
        <v>1.6050076237862136E-2</v>
      </c>
    </row>
    <row r="50" spans="2:19" x14ac:dyDescent="0.35">
      <c r="B50" s="53"/>
      <c r="C50" s="27" t="s">
        <v>230</v>
      </c>
      <c r="D50" s="51">
        <v>20</v>
      </c>
      <c r="E50" s="53"/>
      <c r="F50" s="51">
        <f>D50/50</f>
        <v>0.4</v>
      </c>
      <c r="G50" s="53"/>
      <c r="H50" s="53"/>
      <c r="I50" s="51">
        <f>F50*H49</f>
        <v>3.5019523384286738E-2</v>
      </c>
      <c r="L50" s="63"/>
      <c r="M50" s="27" t="s">
        <v>230</v>
      </c>
      <c r="N50" s="51">
        <v>20</v>
      </c>
      <c r="O50" s="55" t="s">
        <v>327</v>
      </c>
      <c r="P50" s="51">
        <f>N50/Q48</f>
        <v>0.4</v>
      </c>
      <c r="Q50" s="55">
        <v>50</v>
      </c>
      <c r="R50" s="55">
        <f>Q50/'MK-CPL'!K82</f>
        <v>3.3796800118964743E-2</v>
      </c>
      <c r="S50" s="51">
        <f>P50*R50</f>
        <v>1.3518720047585898E-2</v>
      </c>
    </row>
    <row r="51" spans="2:19" x14ac:dyDescent="0.35">
      <c r="B51" s="53"/>
      <c r="C51" s="27" t="s">
        <v>231</v>
      </c>
      <c r="D51" s="51">
        <v>20</v>
      </c>
      <c r="E51" s="54"/>
      <c r="F51" s="51">
        <f>D51/50</f>
        <v>0.4</v>
      </c>
      <c r="G51" s="54"/>
      <c r="H51" s="54"/>
      <c r="I51" s="51">
        <f>F51*H49</f>
        <v>3.5019523384286738E-2</v>
      </c>
      <c r="L51" s="63"/>
      <c r="M51" s="27" t="s">
        <v>231</v>
      </c>
      <c r="N51" s="51">
        <v>20</v>
      </c>
      <c r="O51" s="49" t="s">
        <v>338</v>
      </c>
      <c r="P51" s="51">
        <f>N51/Q48</f>
        <v>0.4</v>
      </c>
      <c r="Q51" s="49">
        <v>50</v>
      </c>
      <c r="R51" s="49">
        <f>Q51/'MK-CPL'!H82</f>
        <v>4.0125190594655337E-2</v>
      </c>
      <c r="S51" s="51">
        <f>P51*R51</f>
        <v>1.6050076237862136E-2</v>
      </c>
    </row>
    <row r="52" spans="2:19" x14ac:dyDescent="0.35">
      <c r="B52" s="54"/>
      <c r="C52" s="27" t="s">
        <v>232</v>
      </c>
      <c r="D52" s="51">
        <v>20</v>
      </c>
      <c r="E52" s="51" t="s">
        <v>314</v>
      </c>
      <c r="F52" s="51">
        <f>D52/50</f>
        <v>0.4</v>
      </c>
      <c r="G52" s="51">
        <v>50</v>
      </c>
      <c r="H52" s="51">
        <f>G52/'MK-CPL'!G82</f>
        <v>7.0148855872160715E-2</v>
      </c>
      <c r="I52" s="51">
        <f>F52*H52</f>
        <v>2.8059542348864288E-2</v>
      </c>
      <c r="L52" s="64"/>
      <c r="M52" s="27" t="s">
        <v>232</v>
      </c>
      <c r="N52" s="51">
        <v>20</v>
      </c>
      <c r="O52" s="49"/>
      <c r="P52" s="51">
        <f>N52/Q50</f>
        <v>0.4</v>
      </c>
      <c r="Q52" s="49"/>
      <c r="R52" s="49"/>
      <c r="S52" s="51">
        <f>P52*R51</f>
        <v>1.6050076237862136E-2</v>
      </c>
    </row>
    <row r="55" spans="2:19" ht="58" x14ac:dyDescent="0.35">
      <c r="B55" s="50" t="s">
        <v>93</v>
      </c>
      <c r="C55" s="50" t="s">
        <v>296</v>
      </c>
      <c r="D55" s="50" t="s">
        <v>297</v>
      </c>
      <c r="E55" s="50" t="s">
        <v>298</v>
      </c>
      <c r="F55" s="50" t="s">
        <v>302</v>
      </c>
      <c r="G55" s="50" t="s">
        <v>303</v>
      </c>
      <c r="H55" s="50" t="s">
        <v>304</v>
      </c>
      <c r="I55" s="50" t="s">
        <v>297</v>
      </c>
      <c r="L55" s="50" t="s">
        <v>93</v>
      </c>
      <c r="M55" s="50" t="s">
        <v>296</v>
      </c>
      <c r="N55" s="50" t="s">
        <v>297</v>
      </c>
      <c r="O55" s="50" t="s">
        <v>298</v>
      </c>
      <c r="P55" s="50" t="s">
        <v>302</v>
      </c>
      <c r="Q55" s="50" t="s">
        <v>303</v>
      </c>
      <c r="R55" s="50" t="s">
        <v>304</v>
      </c>
      <c r="S55" s="50" t="s">
        <v>297</v>
      </c>
    </row>
    <row r="56" spans="2:19" x14ac:dyDescent="0.35">
      <c r="B56" s="52" t="s">
        <v>104</v>
      </c>
      <c r="C56" s="27" t="s">
        <v>228</v>
      </c>
      <c r="D56" s="51">
        <v>20</v>
      </c>
      <c r="E56" s="52" t="s">
        <v>338</v>
      </c>
      <c r="F56" s="51">
        <f>D56/50</f>
        <v>0.4</v>
      </c>
      <c r="G56" s="52">
        <v>50</v>
      </c>
      <c r="H56" s="52">
        <f>G56/'MK-CPL'!H82</f>
        <v>4.0125190594655337E-2</v>
      </c>
      <c r="I56" s="51">
        <f>F56*H56</f>
        <v>1.6050076237862136E-2</v>
      </c>
      <c r="L56" s="62" t="s">
        <v>188</v>
      </c>
      <c r="M56" s="27" t="s">
        <v>228</v>
      </c>
      <c r="N56" s="51">
        <v>20</v>
      </c>
      <c r="O56" s="55" t="s">
        <v>338</v>
      </c>
      <c r="P56" s="51">
        <f>N56/Q56</f>
        <v>0.4</v>
      </c>
      <c r="Q56" s="55">
        <v>50</v>
      </c>
      <c r="R56" s="55">
        <f>Q56/'MK-CPL'!H82</f>
        <v>4.0125190594655337E-2</v>
      </c>
      <c r="S56" s="51">
        <f>P56*R56</f>
        <v>1.6050076237862136E-2</v>
      </c>
    </row>
    <row r="57" spans="2:19" x14ac:dyDescent="0.35">
      <c r="B57" s="53"/>
      <c r="C57" s="27" t="s">
        <v>229</v>
      </c>
      <c r="D57" s="51">
        <v>20</v>
      </c>
      <c r="E57" s="54"/>
      <c r="F57" s="51">
        <f>D57/50</f>
        <v>0.4</v>
      </c>
      <c r="G57" s="54"/>
      <c r="H57" s="54"/>
      <c r="I57" s="51">
        <f>F57*H56</f>
        <v>1.6050076237862136E-2</v>
      </c>
      <c r="L57" s="63"/>
      <c r="M57" s="27" t="s">
        <v>229</v>
      </c>
      <c r="N57" s="51">
        <v>20</v>
      </c>
      <c r="O57" s="52" t="s">
        <v>327</v>
      </c>
      <c r="P57" s="51">
        <f>N57/Q56</f>
        <v>0.4</v>
      </c>
      <c r="Q57" s="52">
        <v>50</v>
      </c>
      <c r="R57" s="52">
        <f>Q57/'MK-CPL'!K82</f>
        <v>3.3796800118964743E-2</v>
      </c>
      <c r="S57" s="51">
        <f>P57*R57</f>
        <v>1.3518720047585898E-2</v>
      </c>
    </row>
    <row r="58" spans="2:19" x14ac:dyDescent="0.35">
      <c r="B58" s="53"/>
      <c r="C58" s="27" t="s">
        <v>230</v>
      </c>
      <c r="D58" s="51">
        <v>20</v>
      </c>
      <c r="E58" s="55" t="s">
        <v>327</v>
      </c>
      <c r="F58" s="51">
        <f>D58/50</f>
        <v>0.4</v>
      </c>
      <c r="G58" s="55">
        <v>50</v>
      </c>
      <c r="H58" s="56">
        <f>G58/'MK-CPL'!K82</f>
        <v>3.3796800118964743E-2</v>
      </c>
      <c r="I58" s="51">
        <f>F58*H58</f>
        <v>1.3518720047585898E-2</v>
      </c>
      <c r="L58" s="63"/>
      <c r="M58" s="27" t="s">
        <v>230</v>
      </c>
      <c r="N58" s="51">
        <v>20</v>
      </c>
      <c r="O58" s="54"/>
      <c r="P58" s="51">
        <f>N58/Q56</f>
        <v>0.4</v>
      </c>
      <c r="Q58" s="54"/>
      <c r="R58" s="54"/>
      <c r="S58" s="51">
        <f>P58*R57</f>
        <v>1.3518720047585898E-2</v>
      </c>
    </row>
    <row r="59" spans="2:19" x14ac:dyDescent="0.35">
      <c r="B59" s="53"/>
      <c r="C59" s="27" t="s">
        <v>231</v>
      </c>
      <c r="D59" s="51">
        <v>20</v>
      </c>
      <c r="E59" s="51" t="s">
        <v>338</v>
      </c>
      <c r="F59" s="51">
        <f>D59/50</f>
        <v>0.4</v>
      </c>
      <c r="G59" s="51">
        <v>50</v>
      </c>
      <c r="H59" s="51">
        <f>G59/'MK-CPL'!H82</f>
        <v>4.0125190594655337E-2</v>
      </c>
      <c r="I59" s="51">
        <f>F59*H59</f>
        <v>1.6050076237862136E-2</v>
      </c>
      <c r="L59" s="63"/>
      <c r="M59" s="27" t="s">
        <v>231</v>
      </c>
      <c r="N59" s="51">
        <v>20</v>
      </c>
      <c r="O59" s="52" t="s">
        <v>338</v>
      </c>
      <c r="P59" s="51">
        <f>N59/Q56</f>
        <v>0.4</v>
      </c>
      <c r="Q59" s="52">
        <v>50</v>
      </c>
      <c r="R59" s="52">
        <f>Q59/'MK-CPL'!H82</f>
        <v>4.0125190594655337E-2</v>
      </c>
      <c r="S59" s="51">
        <f>P59*R59</f>
        <v>1.6050076237862136E-2</v>
      </c>
    </row>
    <row r="60" spans="2:19" x14ac:dyDescent="0.35">
      <c r="B60" s="54"/>
      <c r="C60" s="27" t="s">
        <v>232</v>
      </c>
      <c r="D60" s="51">
        <v>20</v>
      </c>
      <c r="E60" s="51" t="s">
        <v>327</v>
      </c>
      <c r="F60" s="51">
        <f>D60/50</f>
        <v>0.4</v>
      </c>
      <c r="G60" s="51">
        <v>50</v>
      </c>
      <c r="H60" s="51">
        <f>G60/'MK-CPL'!K82</f>
        <v>3.3796800118964743E-2</v>
      </c>
      <c r="I60" s="51">
        <f>F60*H60</f>
        <v>1.3518720047585898E-2</v>
      </c>
      <c r="L60" s="64"/>
      <c r="M60" s="27" t="s">
        <v>232</v>
      </c>
      <c r="N60" s="51">
        <v>20</v>
      </c>
      <c r="O60" s="54"/>
      <c r="P60" s="51">
        <f>N60/Q57</f>
        <v>0.4</v>
      </c>
      <c r="Q60" s="54"/>
      <c r="R60" s="54"/>
      <c r="S60" s="51">
        <f>P60*R59</f>
        <v>1.6050076237862136E-2</v>
      </c>
    </row>
    <row r="63" spans="2:19" x14ac:dyDescent="0.35">
      <c r="B63" s="57" t="s">
        <v>113</v>
      </c>
    </row>
    <row r="65" spans="2:19" ht="58" x14ac:dyDescent="0.35">
      <c r="B65" s="50" t="s">
        <v>93</v>
      </c>
      <c r="C65" s="50" t="s">
        <v>296</v>
      </c>
      <c r="D65" s="50" t="s">
        <v>297</v>
      </c>
      <c r="E65" s="50" t="s">
        <v>298</v>
      </c>
      <c r="F65" s="50" t="s">
        <v>302</v>
      </c>
      <c r="G65" s="50" t="s">
        <v>303</v>
      </c>
      <c r="H65" s="50" t="s">
        <v>304</v>
      </c>
      <c r="I65" s="50" t="s">
        <v>297</v>
      </c>
      <c r="L65" s="50" t="s">
        <v>93</v>
      </c>
      <c r="M65" s="50" t="s">
        <v>296</v>
      </c>
      <c r="N65" s="50" t="s">
        <v>297</v>
      </c>
      <c r="O65" s="50" t="s">
        <v>298</v>
      </c>
      <c r="P65" s="50" t="s">
        <v>302</v>
      </c>
      <c r="Q65" s="50" t="s">
        <v>303</v>
      </c>
      <c r="R65" s="50" t="s">
        <v>304</v>
      </c>
      <c r="S65" s="50" t="s">
        <v>297</v>
      </c>
    </row>
    <row r="66" spans="2:19" x14ac:dyDescent="0.35">
      <c r="B66" s="62" t="s">
        <v>114</v>
      </c>
      <c r="C66" s="27" t="s">
        <v>228</v>
      </c>
      <c r="D66" s="51">
        <v>25</v>
      </c>
      <c r="E66" s="52" t="s">
        <v>300</v>
      </c>
      <c r="F66" s="51">
        <f>25/G66</f>
        <v>0.5</v>
      </c>
      <c r="G66" s="52">
        <v>50</v>
      </c>
      <c r="H66" s="52">
        <f>G66/'MK-CPL'!P82</f>
        <v>0.17045454545454544</v>
      </c>
      <c r="I66" s="51">
        <f>F66*H66</f>
        <v>8.5227272727272721E-2</v>
      </c>
      <c r="L66" s="62" t="s">
        <v>190</v>
      </c>
      <c r="M66" s="27" t="s">
        <v>228</v>
      </c>
      <c r="N66" s="51">
        <v>20</v>
      </c>
      <c r="O66" s="49" t="s">
        <v>327</v>
      </c>
      <c r="P66" s="51">
        <f>N66/Q66</f>
        <v>0.4</v>
      </c>
      <c r="Q66" s="52">
        <v>50</v>
      </c>
      <c r="R66" s="49">
        <f>Q66/'MK-CPL'!K82</f>
        <v>3.3796800118964743E-2</v>
      </c>
      <c r="S66" s="51">
        <f>P66*R66</f>
        <v>1.3518720047585898E-2</v>
      </c>
    </row>
    <row r="67" spans="2:19" x14ac:dyDescent="0.35">
      <c r="B67" s="63"/>
      <c r="C67" s="27" t="s">
        <v>229</v>
      </c>
      <c r="D67" s="51">
        <v>25</v>
      </c>
      <c r="E67" s="53"/>
      <c r="F67" s="51">
        <f>D67/G66</f>
        <v>0.5</v>
      </c>
      <c r="G67" s="53"/>
      <c r="H67" s="53"/>
      <c r="I67" s="51">
        <f>F67*H66</f>
        <v>8.5227272727272721E-2</v>
      </c>
      <c r="L67" s="63"/>
      <c r="M67" s="27" t="s">
        <v>229</v>
      </c>
      <c r="N67" s="51">
        <v>20</v>
      </c>
      <c r="O67" s="49"/>
      <c r="P67" s="51">
        <f>N67/Q66</f>
        <v>0.4</v>
      </c>
      <c r="Q67" s="53"/>
      <c r="R67" s="49"/>
      <c r="S67" s="51">
        <f>P67*R66</f>
        <v>1.3518720047585898E-2</v>
      </c>
    </row>
    <row r="68" spans="2:19" x14ac:dyDescent="0.35">
      <c r="B68" s="63"/>
      <c r="C68" s="27" t="s">
        <v>230</v>
      </c>
      <c r="D68" s="51">
        <v>25</v>
      </c>
      <c r="E68" s="54"/>
      <c r="F68" s="51">
        <f>D68/G66</f>
        <v>0.5</v>
      </c>
      <c r="G68" s="54"/>
      <c r="H68" s="54"/>
      <c r="I68" s="51">
        <f>F68*H66</f>
        <v>8.5227272727272721E-2</v>
      </c>
      <c r="L68" s="63"/>
      <c r="M68" s="27" t="s">
        <v>230</v>
      </c>
      <c r="N68" s="51">
        <v>20</v>
      </c>
      <c r="O68" s="49" t="s">
        <v>379</v>
      </c>
      <c r="P68" s="51">
        <f>N68/Q66</f>
        <v>0.4</v>
      </c>
      <c r="Q68" s="49">
        <v>50</v>
      </c>
      <c r="R68" s="52">
        <f>Q68/'MK-CPL'!I82</f>
        <v>0.10804503316982519</v>
      </c>
      <c r="S68" s="51">
        <f>P68*R68</f>
        <v>4.321801326793008E-2</v>
      </c>
    </row>
    <row r="69" spans="2:19" x14ac:dyDescent="0.35">
      <c r="B69" s="64"/>
      <c r="C69" s="27" t="s">
        <v>231</v>
      </c>
      <c r="D69" s="51">
        <v>25</v>
      </c>
      <c r="E69" s="51" t="s">
        <v>301</v>
      </c>
      <c r="F69" s="51">
        <f>D69/G69</f>
        <v>0.5</v>
      </c>
      <c r="G69" s="51">
        <v>50</v>
      </c>
      <c r="H69" s="51">
        <f>G69/'MK-CPL'!N82</f>
        <v>7.8397758869399772E-2</v>
      </c>
      <c r="I69" s="51">
        <f>F69*H69</f>
        <v>3.9198879434699886E-2</v>
      </c>
      <c r="L69" s="63"/>
      <c r="M69" s="27" t="s">
        <v>231</v>
      </c>
      <c r="N69" s="51">
        <v>20</v>
      </c>
      <c r="O69" s="49"/>
      <c r="P69" s="51">
        <f>N69/Q66</f>
        <v>0.4</v>
      </c>
      <c r="Q69" s="49"/>
      <c r="R69" s="53"/>
      <c r="S69" s="51">
        <f>P69*R68</f>
        <v>4.321801326793008E-2</v>
      </c>
    </row>
    <row r="70" spans="2:19" x14ac:dyDescent="0.35">
      <c r="B70" s="25"/>
      <c r="L70" s="64"/>
      <c r="M70" s="27" t="s">
        <v>232</v>
      </c>
      <c r="N70" s="51">
        <v>20</v>
      </c>
      <c r="O70" s="49"/>
      <c r="P70" s="51">
        <f>N70/Q68</f>
        <v>0.4</v>
      </c>
      <c r="Q70" s="49"/>
      <c r="R70" s="54"/>
      <c r="S70" s="51">
        <f>P70*R68</f>
        <v>4.321801326793008E-2</v>
      </c>
    </row>
    <row r="72" spans="2:19" ht="58" x14ac:dyDescent="0.35">
      <c r="B72" s="50" t="s">
        <v>93</v>
      </c>
      <c r="C72" s="50" t="s">
        <v>296</v>
      </c>
      <c r="D72" s="50" t="s">
        <v>297</v>
      </c>
      <c r="E72" s="50" t="s">
        <v>298</v>
      </c>
      <c r="F72" s="50" t="s">
        <v>302</v>
      </c>
      <c r="G72" s="50" t="s">
        <v>303</v>
      </c>
      <c r="H72" s="50" t="s">
        <v>304</v>
      </c>
      <c r="I72" s="50" t="s">
        <v>297</v>
      </c>
      <c r="L72" s="50" t="s">
        <v>93</v>
      </c>
      <c r="M72" s="50" t="s">
        <v>296</v>
      </c>
      <c r="N72" s="50" t="s">
        <v>297</v>
      </c>
      <c r="O72" s="50" t="s">
        <v>298</v>
      </c>
      <c r="P72" s="50" t="s">
        <v>302</v>
      </c>
      <c r="Q72" s="50" t="s">
        <v>303</v>
      </c>
      <c r="R72" s="50" t="s">
        <v>304</v>
      </c>
      <c r="S72" s="50" t="s">
        <v>297</v>
      </c>
    </row>
    <row r="73" spans="2:19" x14ac:dyDescent="0.35">
      <c r="B73" s="52" t="s">
        <v>348</v>
      </c>
      <c r="C73" s="27" t="s">
        <v>228</v>
      </c>
      <c r="D73" s="51">
        <v>20</v>
      </c>
      <c r="E73" s="55" t="s">
        <v>314</v>
      </c>
      <c r="F73" s="51">
        <f>D73/50</f>
        <v>0.4</v>
      </c>
      <c r="G73" s="58">
        <v>50</v>
      </c>
      <c r="H73" s="58">
        <f>G73/'MK-CPL'!G82</f>
        <v>7.0148855872160715E-2</v>
      </c>
      <c r="I73" s="51">
        <f>F73*H73</f>
        <v>2.8059542348864288E-2</v>
      </c>
      <c r="L73" s="62" t="s">
        <v>530</v>
      </c>
      <c r="M73" s="27" t="s">
        <v>228</v>
      </c>
      <c r="N73" s="51">
        <v>20</v>
      </c>
      <c r="O73" s="52" t="s">
        <v>395</v>
      </c>
      <c r="P73" s="51">
        <f>N73/Q73</f>
        <v>0.4</v>
      </c>
      <c r="Q73" s="52">
        <v>50</v>
      </c>
      <c r="R73" s="52">
        <f>Q73/'MK-CPL'!M82</f>
        <v>0.19650998270712153</v>
      </c>
      <c r="S73" s="51">
        <f>P73*R73</f>
        <v>7.8603993082848614E-2</v>
      </c>
    </row>
    <row r="74" spans="2:19" x14ac:dyDescent="0.35">
      <c r="B74" s="53"/>
      <c r="C74" s="27" t="s">
        <v>229</v>
      </c>
      <c r="D74" s="51">
        <v>20</v>
      </c>
      <c r="E74" s="53" t="s">
        <v>315</v>
      </c>
      <c r="F74" s="51">
        <f>D74/50</f>
        <v>0.4</v>
      </c>
      <c r="G74" s="49">
        <v>50</v>
      </c>
      <c r="H74" s="49">
        <f>G74/'MK-CPL'!J82</f>
        <v>8.7548808460716845E-2</v>
      </c>
      <c r="I74" s="51">
        <f>F74*H74</f>
        <v>3.5019523384286738E-2</v>
      </c>
      <c r="L74" s="63"/>
      <c r="M74" s="27" t="s">
        <v>229</v>
      </c>
      <c r="N74" s="51">
        <v>20</v>
      </c>
      <c r="O74" s="53"/>
      <c r="P74" s="51">
        <f>N74/Q73</f>
        <v>0.4</v>
      </c>
      <c r="Q74" s="53"/>
      <c r="R74" s="53"/>
      <c r="S74" s="51">
        <f>P74*R73</f>
        <v>7.8603993082848614E-2</v>
      </c>
    </row>
    <row r="75" spans="2:19" x14ac:dyDescent="0.35">
      <c r="B75" s="53"/>
      <c r="C75" s="27" t="s">
        <v>230</v>
      </c>
      <c r="D75" s="51">
        <v>20</v>
      </c>
      <c r="E75" s="53"/>
      <c r="F75" s="51">
        <f>D75/50</f>
        <v>0.4</v>
      </c>
      <c r="G75" s="49"/>
      <c r="H75" s="49"/>
      <c r="I75" s="51">
        <f>F75*H74</f>
        <v>3.5019523384286738E-2</v>
      </c>
      <c r="L75" s="63"/>
      <c r="M75" s="27" t="s">
        <v>230</v>
      </c>
      <c r="N75" s="51">
        <v>20</v>
      </c>
      <c r="O75" s="53"/>
      <c r="P75" s="51">
        <f>N75/Q73</f>
        <v>0.4</v>
      </c>
      <c r="Q75" s="53"/>
      <c r="R75" s="53"/>
      <c r="S75" s="51">
        <f>P75*R73</f>
        <v>7.8603993082848614E-2</v>
      </c>
    </row>
    <row r="76" spans="2:19" x14ac:dyDescent="0.35">
      <c r="B76" s="53"/>
      <c r="C76" s="27" t="s">
        <v>231</v>
      </c>
      <c r="D76" s="51">
        <v>20</v>
      </c>
      <c r="E76" s="54"/>
      <c r="F76" s="51">
        <f>D76/50</f>
        <v>0.4</v>
      </c>
      <c r="G76" s="49"/>
      <c r="H76" s="49"/>
      <c r="I76" s="51">
        <f>F76*H74</f>
        <v>3.5019523384286738E-2</v>
      </c>
      <c r="L76" s="63"/>
      <c r="M76" s="27" t="s">
        <v>231</v>
      </c>
      <c r="N76" s="51">
        <v>20</v>
      </c>
      <c r="O76" s="49" t="s">
        <v>301</v>
      </c>
      <c r="P76" s="51">
        <f>N76/Q73</f>
        <v>0.4</v>
      </c>
      <c r="Q76" s="49">
        <v>50</v>
      </c>
      <c r="R76" s="49">
        <f>Q76/'MK-CPL'!N82</f>
        <v>7.8397758869399772E-2</v>
      </c>
      <c r="S76" s="51">
        <f>P76*R73</f>
        <v>7.8603993082848614E-2</v>
      </c>
    </row>
    <row r="77" spans="2:19" x14ac:dyDescent="0.35">
      <c r="B77" s="54"/>
      <c r="C77" s="27" t="s">
        <v>232</v>
      </c>
      <c r="D77" s="51">
        <v>20</v>
      </c>
      <c r="E77" s="51" t="s">
        <v>314</v>
      </c>
      <c r="F77" s="51">
        <f>D77/50</f>
        <v>0.4</v>
      </c>
      <c r="G77" s="51">
        <v>50</v>
      </c>
      <c r="H77" s="51">
        <f>G77/'MK-CPL'!G82</f>
        <v>7.0148855872160715E-2</v>
      </c>
      <c r="I77" s="51">
        <f>F77*H77</f>
        <v>2.8059542348864288E-2</v>
      </c>
      <c r="L77" s="64"/>
      <c r="M77" s="27" t="s">
        <v>232</v>
      </c>
      <c r="N77" s="51">
        <v>20</v>
      </c>
      <c r="O77" s="49"/>
      <c r="P77" s="51">
        <f>N77/Q76</f>
        <v>0.4</v>
      </c>
      <c r="Q77" s="49"/>
      <c r="R77" s="49"/>
      <c r="S77" s="51">
        <f>P77*R76</f>
        <v>3.1359103547759913E-2</v>
      </c>
    </row>
    <row r="80" spans="2:19" ht="58" x14ac:dyDescent="0.35">
      <c r="B80" s="50" t="s">
        <v>93</v>
      </c>
      <c r="C80" s="50" t="s">
        <v>296</v>
      </c>
      <c r="D80" s="50" t="s">
        <v>297</v>
      </c>
      <c r="E80" s="50" t="s">
        <v>298</v>
      </c>
      <c r="F80" s="50" t="s">
        <v>302</v>
      </c>
      <c r="G80" s="50" t="s">
        <v>303</v>
      </c>
      <c r="H80" s="50" t="s">
        <v>304</v>
      </c>
      <c r="I80" s="50" t="s">
        <v>297</v>
      </c>
      <c r="L80" s="50" t="s">
        <v>93</v>
      </c>
      <c r="M80" s="50" t="s">
        <v>296</v>
      </c>
      <c r="N80" s="50" t="s">
        <v>297</v>
      </c>
      <c r="O80" s="50" t="s">
        <v>298</v>
      </c>
      <c r="P80" s="50" t="s">
        <v>302</v>
      </c>
      <c r="Q80" s="50" t="s">
        <v>303</v>
      </c>
      <c r="R80" s="50" t="s">
        <v>304</v>
      </c>
      <c r="S80" s="50" t="s">
        <v>297</v>
      </c>
    </row>
    <row r="81" spans="2:19" x14ac:dyDescent="0.35">
      <c r="B81" s="52" t="s">
        <v>118</v>
      </c>
      <c r="C81" s="27" t="s">
        <v>228</v>
      </c>
      <c r="D81" s="51">
        <v>20</v>
      </c>
      <c r="E81" s="49" t="s">
        <v>315</v>
      </c>
      <c r="F81" s="51">
        <f>D81/50</f>
        <v>0.4</v>
      </c>
      <c r="G81" s="52">
        <v>50</v>
      </c>
      <c r="H81" s="52">
        <f>G81/'MK-CPL'!J82</f>
        <v>8.7548808460716845E-2</v>
      </c>
      <c r="I81" s="51">
        <f>F81*H81</f>
        <v>3.5019523384286738E-2</v>
      </c>
      <c r="L81" s="62" t="s">
        <v>530</v>
      </c>
      <c r="M81" s="27" t="s">
        <v>228</v>
      </c>
      <c r="N81" s="51">
        <v>20</v>
      </c>
      <c r="O81" s="55" t="s">
        <v>327</v>
      </c>
      <c r="P81" s="51">
        <f>N81/Q81</f>
        <v>0.4</v>
      </c>
      <c r="Q81" s="55">
        <v>50</v>
      </c>
      <c r="R81" s="55">
        <f>Q81/'MK-CPL'!K82</f>
        <v>3.3796800118964743E-2</v>
      </c>
      <c r="S81" s="51">
        <f>P81*R81</f>
        <v>1.3518720047585898E-2</v>
      </c>
    </row>
    <row r="82" spans="2:19" x14ac:dyDescent="0.35">
      <c r="B82" s="53"/>
      <c r="C82" s="27" t="s">
        <v>229</v>
      </c>
      <c r="D82" s="51">
        <v>20</v>
      </c>
      <c r="E82" s="49"/>
      <c r="F82" s="51">
        <f>D82/50</f>
        <v>0.4</v>
      </c>
      <c r="G82" s="53"/>
      <c r="H82" s="53"/>
      <c r="I82" s="51">
        <f>F82*H81</f>
        <v>3.5019523384286738E-2</v>
      </c>
      <c r="L82" s="63"/>
      <c r="M82" s="27" t="s">
        <v>229</v>
      </c>
      <c r="N82" s="51">
        <v>20</v>
      </c>
      <c r="O82" s="49" t="s">
        <v>379</v>
      </c>
      <c r="P82" s="51">
        <f>N82/Q81</f>
        <v>0.4</v>
      </c>
      <c r="Q82" s="49">
        <v>50</v>
      </c>
      <c r="R82" s="49">
        <f>Q82/'MK-CPL'!I82</f>
        <v>0.10804503316982519</v>
      </c>
      <c r="S82" s="51">
        <f>P82*R82</f>
        <v>4.321801326793008E-2</v>
      </c>
    </row>
    <row r="83" spans="2:19" x14ac:dyDescent="0.35">
      <c r="B83" s="53"/>
      <c r="C83" s="27" t="s">
        <v>230</v>
      </c>
      <c r="D83" s="51">
        <v>20</v>
      </c>
      <c r="E83" s="49"/>
      <c r="F83" s="51">
        <f>D83/50</f>
        <v>0.4</v>
      </c>
      <c r="G83" s="54"/>
      <c r="H83" s="54"/>
      <c r="I83" s="51">
        <f>F83*H81</f>
        <v>3.5019523384286738E-2</v>
      </c>
      <c r="L83" s="63"/>
      <c r="M83" s="27" t="s">
        <v>230</v>
      </c>
      <c r="N83" s="51">
        <v>20</v>
      </c>
      <c r="O83" s="49"/>
      <c r="P83" s="51">
        <f>N83/Q81</f>
        <v>0.4</v>
      </c>
      <c r="Q83" s="49"/>
      <c r="R83" s="49"/>
      <c r="S83" s="51">
        <f>P83*R82</f>
        <v>4.321801326793008E-2</v>
      </c>
    </row>
    <row r="84" spans="2:19" x14ac:dyDescent="0.35">
      <c r="B84" s="53"/>
      <c r="C84" s="27" t="s">
        <v>231</v>
      </c>
      <c r="D84" s="51">
        <v>20</v>
      </c>
      <c r="E84" s="53" t="s">
        <v>314</v>
      </c>
      <c r="F84" s="51">
        <f>D84/50</f>
        <v>0.4</v>
      </c>
      <c r="G84" s="52">
        <v>50</v>
      </c>
      <c r="H84" s="52">
        <f>G84/'MK-CPL'!G82</f>
        <v>7.0148855872160715E-2</v>
      </c>
      <c r="I84" s="51">
        <f>F84*H84</f>
        <v>2.8059542348864288E-2</v>
      </c>
      <c r="L84" s="63"/>
      <c r="M84" s="27" t="s">
        <v>231</v>
      </c>
      <c r="N84" s="51">
        <v>20</v>
      </c>
      <c r="O84" s="49"/>
      <c r="P84" s="51">
        <f>N84/Q81</f>
        <v>0.4</v>
      </c>
      <c r="Q84" s="49"/>
      <c r="R84" s="49"/>
      <c r="S84" s="51">
        <f>P84*R82</f>
        <v>4.321801326793008E-2</v>
      </c>
    </row>
    <row r="85" spans="2:19" x14ac:dyDescent="0.35">
      <c r="B85" s="54"/>
      <c r="C85" s="27" t="s">
        <v>232</v>
      </c>
      <c r="D85" s="51">
        <v>20</v>
      </c>
      <c r="E85" s="54"/>
      <c r="F85" s="51">
        <f>D85/50</f>
        <v>0.4</v>
      </c>
      <c r="G85" s="54"/>
      <c r="H85" s="54"/>
      <c r="I85" s="51">
        <f>F85*H84</f>
        <v>2.8059542348864288E-2</v>
      </c>
      <c r="L85" s="64"/>
      <c r="M85" s="27" t="s">
        <v>232</v>
      </c>
      <c r="N85" s="51">
        <v>20</v>
      </c>
      <c r="O85" s="55" t="s">
        <v>327</v>
      </c>
      <c r="P85" s="51">
        <f>N85/Q82</f>
        <v>0.4</v>
      </c>
      <c r="Q85" s="55">
        <v>50</v>
      </c>
      <c r="R85" s="55">
        <f>Q85/'MK-CPL'!K82</f>
        <v>3.3796800118964743E-2</v>
      </c>
      <c r="S85" s="51">
        <f>P85*R85</f>
        <v>1.3518720047585898E-2</v>
      </c>
    </row>
    <row r="87" spans="2:19" x14ac:dyDescent="0.35">
      <c r="L87" s="57" t="s">
        <v>198</v>
      </c>
    </row>
    <row r="88" spans="2:19" ht="58" x14ac:dyDescent="0.35">
      <c r="B88" s="50" t="s">
        <v>93</v>
      </c>
      <c r="C88" s="50" t="s">
        <v>296</v>
      </c>
      <c r="D88" s="50" t="s">
        <v>297</v>
      </c>
      <c r="E88" s="50" t="s">
        <v>298</v>
      </c>
      <c r="F88" s="50" t="s">
        <v>302</v>
      </c>
      <c r="G88" s="50" t="s">
        <v>303</v>
      </c>
      <c r="H88" s="50" t="s">
        <v>304</v>
      </c>
      <c r="I88" s="50" t="s">
        <v>297</v>
      </c>
      <c r="L88" s="50" t="s">
        <v>93</v>
      </c>
      <c r="M88" s="50" t="s">
        <v>296</v>
      </c>
      <c r="N88" s="50" t="s">
        <v>297</v>
      </c>
      <c r="O88" s="50" t="s">
        <v>298</v>
      </c>
      <c r="P88" s="50" t="s">
        <v>302</v>
      </c>
      <c r="Q88" s="50" t="s">
        <v>303</v>
      </c>
      <c r="R88" s="50" t="s">
        <v>304</v>
      </c>
      <c r="S88" s="50" t="s">
        <v>297</v>
      </c>
    </row>
    <row r="89" spans="2:19" x14ac:dyDescent="0.35">
      <c r="B89" s="52" t="s">
        <v>120</v>
      </c>
      <c r="C89" s="27" t="s">
        <v>228</v>
      </c>
      <c r="D89" s="51">
        <v>20</v>
      </c>
      <c r="E89" s="52" t="s">
        <v>314</v>
      </c>
      <c r="F89" s="51">
        <f>D89/50</f>
        <v>0.4</v>
      </c>
      <c r="G89" s="52">
        <v>50</v>
      </c>
      <c r="H89" s="52">
        <f>G89/'MK-CPL'!G82</f>
        <v>7.0148855872160715E-2</v>
      </c>
      <c r="I89" s="51">
        <f>F89*H89</f>
        <v>2.8059542348864288E-2</v>
      </c>
      <c r="L89" s="52" t="s">
        <v>174</v>
      </c>
      <c r="M89" s="27" t="s">
        <v>228</v>
      </c>
      <c r="N89" s="51">
        <v>20</v>
      </c>
      <c r="O89" s="52" t="s">
        <v>338</v>
      </c>
      <c r="P89" s="51">
        <f>N89/Q89</f>
        <v>0.60006000600060005</v>
      </c>
      <c r="Q89" s="52">
        <v>33.33</v>
      </c>
      <c r="R89" s="52">
        <f>Q89/'MK-CPL'!H82</f>
        <v>2.6747452050397243E-2</v>
      </c>
      <c r="S89" s="51">
        <f>P89*R89</f>
        <v>1.6050076237862133E-2</v>
      </c>
    </row>
    <row r="90" spans="2:19" x14ac:dyDescent="0.35">
      <c r="B90" s="53"/>
      <c r="C90" s="27" t="s">
        <v>229</v>
      </c>
      <c r="D90" s="51">
        <v>20</v>
      </c>
      <c r="E90" s="54"/>
      <c r="F90" s="51">
        <f>D90/50</f>
        <v>0.4</v>
      </c>
      <c r="G90" s="53"/>
      <c r="H90" s="53"/>
      <c r="I90" s="51">
        <f>F90*H89</f>
        <v>2.8059542348864288E-2</v>
      </c>
      <c r="L90" s="53"/>
      <c r="M90" s="27" t="s">
        <v>229</v>
      </c>
      <c r="N90" s="51">
        <v>20</v>
      </c>
      <c r="O90" s="54"/>
      <c r="P90" s="51">
        <f>N90/Q89</f>
        <v>0.60006000600060005</v>
      </c>
      <c r="Q90" s="54"/>
      <c r="R90" s="54"/>
      <c r="S90" s="51">
        <f>P90*R89</f>
        <v>1.6050076237862133E-2</v>
      </c>
    </row>
    <row r="91" spans="2:19" x14ac:dyDescent="0.35">
      <c r="B91" s="53"/>
      <c r="C91" s="27" t="s">
        <v>230</v>
      </c>
      <c r="D91" s="51">
        <v>20</v>
      </c>
      <c r="E91" s="52" t="s">
        <v>315</v>
      </c>
      <c r="F91" s="51">
        <f>D91/50</f>
        <v>0.4</v>
      </c>
      <c r="G91" s="49">
        <v>50</v>
      </c>
      <c r="H91" s="49">
        <f>G91/'MK-CPL'!J82</f>
        <v>8.7548808460716845E-2</v>
      </c>
      <c r="I91" s="51">
        <f>F91*H91</f>
        <v>3.5019523384286738E-2</v>
      </c>
      <c r="L91" s="53"/>
      <c r="M91" s="27" t="s">
        <v>230</v>
      </c>
      <c r="N91" s="51">
        <v>20</v>
      </c>
      <c r="O91" s="55" t="s">
        <v>327</v>
      </c>
      <c r="P91" s="51">
        <f>N91/Q91</f>
        <v>0.60006000600060005</v>
      </c>
      <c r="Q91" s="55">
        <v>33.33</v>
      </c>
      <c r="R91" s="56">
        <f>Q91/'MK-CPL'!K82</f>
        <v>2.2528946959301896E-2</v>
      </c>
      <c r="S91" s="51">
        <f>P91*R91</f>
        <v>1.3518720047585897E-2</v>
      </c>
    </row>
    <row r="92" spans="2:19" x14ac:dyDescent="0.35">
      <c r="B92" s="53"/>
      <c r="C92" s="27" t="s">
        <v>231</v>
      </c>
      <c r="D92" s="51">
        <v>20</v>
      </c>
      <c r="E92" s="53"/>
      <c r="F92" s="51">
        <f>D92/50</f>
        <v>0.4</v>
      </c>
      <c r="G92" s="49"/>
      <c r="H92" s="49"/>
      <c r="I92" s="51">
        <f>F92*H91</f>
        <v>3.5019523384286738E-2</v>
      </c>
      <c r="L92" s="53"/>
      <c r="M92" s="27" t="s">
        <v>231</v>
      </c>
      <c r="N92" s="51">
        <v>20</v>
      </c>
      <c r="O92" s="51" t="s">
        <v>338</v>
      </c>
      <c r="P92" s="51">
        <f>N92/Q92</f>
        <v>0.60006000600060005</v>
      </c>
      <c r="Q92" s="51">
        <v>33.33</v>
      </c>
      <c r="R92" s="51">
        <f>Q92/'MK-CPL'!H82</f>
        <v>2.6747452050397243E-2</v>
      </c>
      <c r="S92" s="51">
        <f>P92*R92</f>
        <v>1.6050076237862133E-2</v>
      </c>
    </row>
    <row r="93" spans="2:19" x14ac:dyDescent="0.35">
      <c r="B93" s="54"/>
      <c r="C93" s="27" t="s">
        <v>232</v>
      </c>
      <c r="D93" s="51">
        <v>20</v>
      </c>
      <c r="E93" s="55" t="s">
        <v>314</v>
      </c>
      <c r="F93" s="51">
        <f>D93/50</f>
        <v>0.4</v>
      </c>
      <c r="G93" s="59">
        <v>50</v>
      </c>
      <c r="H93" s="61">
        <f>G93/'MK-CPL'!G82</f>
        <v>7.0148855872160715E-2</v>
      </c>
      <c r="I93" s="51">
        <f>F93*H93</f>
        <v>2.8059542348864288E-2</v>
      </c>
      <c r="L93" s="54"/>
      <c r="M93" s="27" t="s">
        <v>232</v>
      </c>
      <c r="N93" s="51">
        <v>20</v>
      </c>
      <c r="O93" s="51" t="s">
        <v>299</v>
      </c>
      <c r="P93" s="51">
        <f>N93/Q93</f>
        <v>0.60006000600060005</v>
      </c>
      <c r="Q93" s="51">
        <v>33.33</v>
      </c>
      <c r="R93" s="51">
        <f>Q93/'MK-CPL'!O82</f>
        <v>8.9813259559332073E-2</v>
      </c>
      <c r="S93" s="51">
        <f>P93*R93</f>
        <v>5.3893345070106256E-2</v>
      </c>
    </row>
    <row r="96" spans="2:19" ht="58" x14ac:dyDescent="0.35">
      <c r="B96" s="50" t="s">
        <v>93</v>
      </c>
      <c r="C96" s="50" t="s">
        <v>296</v>
      </c>
      <c r="D96" s="50" t="s">
        <v>297</v>
      </c>
      <c r="E96" s="50" t="s">
        <v>298</v>
      </c>
      <c r="F96" s="50" t="s">
        <v>302</v>
      </c>
      <c r="G96" s="50" t="s">
        <v>303</v>
      </c>
      <c r="H96" s="50" t="s">
        <v>304</v>
      </c>
      <c r="I96" s="50" t="s">
        <v>297</v>
      </c>
      <c r="L96" s="50" t="s">
        <v>93</v>
      </c>
      <c r="M96" s="50" t="s">
        <v>296</v>
      </c>
      <c r="N96" s="50" t="s">
        <v>297</v>
      </c>
      <c r="O96" s="50" t="s">
        <v>298</v>
      </c>
      <c r="P96" s="50" t="s">
        <v>302</v>
      </c>
      <c r="Q96" s="50" t="s">
        <v>303</v>
      </c>
      <c r="R96" s="50" t="s">
        <v>304</v>
      </c>
      <c r="S96" s="50" t="s">
        <v>297</v>
      </c>
    </row>
    <row r="97" spans="2:19" x14ac:dyDescent="0.35">
      <c r="B97" s="52" t="s">
        <v>122</v>
      </c>
      <c r="C97" s="27" t="s">
        <v>228</v>
      </c>
      <c r="D97" s="51">
        <v>20</v>
      </c>
      <c r="E97" s="58" t="s">
        <v>338</v>
      </c>
      <c r="F97" s="51">
        <f>D97/50</f>
        <v>0.4</v>
      </c>
      <c r="G97" s="58">
        <v>50</v>
      </c>
      <c r="H97" s="60">
        <f>G97/'MK-CPL'!H82</f>
        <v>4.0125190594655337E-2</v>
      </c>
      <c r="I97" s="51">
        <f>F97*H97</f>
        <v>1.6050076237862136E-2</v>
      </c>
      <c r="L97" s="52" t="s">
        <v>541</v>
      </c>
      <c r="M97" s="27" t="s">
        <v>228</v>
      </c>
      <c r="N97" s="51">
        <v>20</v>
      </c>
      <c r="O97" s="52" t="s">
        <v>327</v>
      </c>
      <c r="P97" s="51">
        <f>N97/Q97</f>
        <v>0.4</v>
      </c>
      <c r="Q97" s="52">
        <v>50</v>
      </c>
      <c r="R97" s="52">
        <f>Q97/'MK-CPL'!K82</f>
        <v>3.3796800118964743E-2</v>
      </c>
      <c r="S97" s="51">
        <f>P97*R97</f>
        <v>1.3518720047585898E-2</v>
      </c>
    </row>
    <row r="98" spans="2:19" x14ac:dyDescent="0.35">
      <c r="B98" s="53"/>
      <c r="C98" s="27" t="s">
        <v>229</v>
      </c>
      <c r="D98" s="51">
        <v>20</v>
      </c>
      <c r="E98" s="49" t="s">
        <v>327</v>
      </c>
      <c r="F98" s="51">
        <f>D98/50</f>
        <v>0.4</v>
      </c>
      <c r="G98" s="49">
        <v>50</v>
      </c>
      <c r="H98" s="49">
        <f>G98/'MK-CPL'!K82</f>
        <v>3.3796800118964743E-2</v>
      </c>
      <c r="I98" s="51">
        <f>F98*H98</f>
        <v>1.3518720047585898E-2</v>
      </c>
      <c r="L98" s="53"/>
      <c r="M98" s="27" t="s">
        <v>229</v>
      </c>
      <c r="N98" s="51">
        <v>20</v>
      </c>
      <c r="O98" s="53"/>
      <c r="P98" s="51">
        <f>N98/Q97</f>
        <v>0.4</v>
      </c>
      <c r="Q98" s="53"/>
      <c r="R98" s="53"/>
      <c r="S98" s="51">
        <f>P98*R97</f>
        <v>1.3518720047585898E-2</v>
      </c>
    </row>
    <row r="99" spans="2:19" x14ac:dyDescent="0.35">
      <c r="B99" s="53"/>
      <c r="C99" s="27" t="s">
        <v>230</v>
      </c>
      <c r="D99" s="51">
        <v>20</v>
      </c>
      <c r="E99" s="49"/>
      <c r="F99" s="51">
        <f>D99/50</f>
        <v>0.4</v>
      </c>
      <c r="G99" s="49"/>
      <c r="H99" s="49"/>
      <c r="I99" s="51">
        <f>F99*H98</f>
        <v>1.3518720047585898E-2</v>
      </c>
      <c r="L99" s="53"/>
      <c r="M99" s="27" t="s">
        <v>230</v>
      </c>
      <c r="N99" s="51">
        <v>20</v>
      </c>
      <c r="O99" s="54"/>
      <c r="P99" s="51">
        <f>N99/Q97</f>
        <v>0.4</v>
      </c>
      <c r="Q99" s="54"/>
      <c r="R99" s="54"/>
      <c r="S99" s="51">
        <f>P99*R97</f>
        <v>1.3518720047585898E-2</v>
      </c>
    </row>
    <row r="100" spans="2:19" x14ac:dyDescent="0.35">
      <c r="B100" s="53"/>
      <c r="C100" s="27" t="s">
        <v>231</v>
      </c>
      <c r="D100" s="51">
        <v>20</v>
      </c>
      <c r="E100" s="52" t="s">
        <v>338</v>
      </c>
      <c r="F100" s="51">
        <f>D100/50</f>
        <v>0.4</v>
      </c>
      <c r="G100" s="52">
        <v>50</v>
      </c>
      <c r="H100" s="49">
        <f>G100/'MK-CPL'!H82</f>
        <v>4.0125190594655337E-2</v>
      </c>
      <c r="I100" s="51">
        <f>F100*H100</f>
        <v>1.6050076237862136E-2</v>
      </c>
      <c r="L100" s="53"/>
      <c r="M100" s="27" t="s">
        <v>231</v>
      </c>
      <c r="N100" s="51">
        <v>20</v>
      </c>
      <c r="O100" s="52" t="s">
        <v>338</v>
      </c>
      <c r="P100" s="51">
        <f>N100/Q100</f>
        <v>0.4</v>
      </c>
      <c r="Q100" s="52">
        <v>50</v>
      </c>
      <c r="R100" s="52">
        <f>Q100/'MK-CPL'!H82</f>
        <v>4.0125190594655337E-2</v>
      </c>
      <c r="S100" s="51">
        <f>P100*R100</f>
        <v>1.6050076237862136E-2</v>
      </c>
    </row>
    <row r="101" spans="2:19" x14ac:dyDescent="0.35">
      <c r="B101" s="54"/>
      <c r="C101" s="27" t="s">
        <v>232</v>
      </c>
      <c r="D101" s="51">
        <v>20</v>
      </c>
      <c r="E101" s="54"/>
      <c r="F101" s="51">
        <f>D101/50</f>
        <v>0.4</v>
      </c>
      <c r="G101" s="54"/>
      <c r="H101" s="49"/>
      <c r="I101" s="51">
        <f>F101*H100</f>
        <v>1.6050076237862136E-2</v>
      </c>
      <c r="L101" s="54"/>
      <c r="M101" s="27" t="s">
        <v>232</v>
      </c>
      <c r="N101" s="51">
        <v>20</v>
      </c>
      <c r="O101" s="54"/>
      <c r="P101" s="51">
        <f>N101/Q100</f>
        <v>0.4</v>
      </c>
      <c r="Q101" s="54"/>
      <c r="R101" s="54"/>
      <c r="S101" s="51">
        <f>P101*R100</f>
        <v>1.6050076237862136E-2</v>
      </c>
    </row>
    <row r="104" spans="2:19" ht="58" x14ac:dyDescent="0.35">
      <c r="B104" s="50" t="s">
        <v>93</v>
      </c>
      <c r="C104" s="50" t="s">
        <v>296</v>
      </c>
      <c r="D104" s="50" t="s">
        <v>297</v>
      </c>
      <c r="E104" s="50" t="s">
        <v>298</v>
      </c>
      <c r="F104" s="50" t="s">
        <v>302</v>
      </c>
      <c r="G104" s="50" t="s">
        <v>303</v>
      </c>
      <c r="H104" s="50" t="s">
        <v>304</v>
      </c>
      <c r="I104" s="50" t="s">
        <v>297</v>
      </c>
      <c r="L104" s="50" t="s">
        <v>93</v>
      </c>
      <c r="M104" s="50" t="s">
        <v>296</v>
      </c>
      <c r="N104" s="50" t="s">
        <v>297</v>
      </c>
      <c r="O104" s="50" t="s">
        <v>298</v>
      </c>
      <c r="P104" s="50" t="s">
        <v>302</v>
      </c>
      <c r="Q104" s="50" t="s">
        <v>303</v>
      </c>
      <c r="R104" s="50" t="s">
        <v>304</v>
      </c>
      <c r="S104" s="50" t="s">
        <v>297</v>
      </c>
    </row>
    <row r="105" spans="2:19" x14ac:dyDescent="0.35">
      <c r="B105" s="62" t="s">
        <v>124</v>
      </c>
      <c r="C105" s="27" t="s">
        <v>228</v>
      </c>
      <c r="D105" s="51">
        <v>25</v>
      </c>
      <c r="E105" s="52" t="s">
        <v>301</v>
      </c>
      <c r="F105" s="51">
        <f>25/G105</f>
        <v>0.25</v>
      </c>
      <c r="G105" s="52">
        <v>100</v>
      </c>
      <c r="H105" s="52">
        <f>G105/'MK-CPL'!N82</f>
        <v>0.15679551773879954</v>
      </c>
      <c r="I105" s="51">
        <f>F105*H105</f>
        <v>3.9198879434699886E-2</v>
      </c>
      <c r="L105" s="52" t="s">
        <v>203</v>
      </c>
      <c r="M105" s="27" t="s">
        <v>228</v>
      </c>
      <c r="N105" s="51">
        <v>20</v>
      </c>
      <c r="O105" s="52" t="s">
        <v>338</v>
      </c>
      <c r="P105" s="51">
        <f>N105/Q105</f>
        <v>0.4</v>
      </c>
      <c r="Q105" s="52">
        <v>50</v>
      </c>
      <c r="R105" s="52">
        <f>Q105/'MK-CPL'!H82</f>
        <v>4.0125190594655337E-2</v>
      </c>
      <c r="S105" s="51">
        <f>P105*R105</f>
        <v>1.6050076237862136E-2</v>
      </c>
    </row>
    <row r="106" spans="2:19" x14ac:dyDescent="0.35">
      <c r="B106" s="63"/>
      <c r="C106" s="27" t="s">
        <v>229</v>
      </c>
      <c r="D106" s="51">
        <v>25</v>
      </c>
      <c r="E106" s="53"/>
      <c r="F106" s="51">
        <f>D106/G105</f>
        <v>0.25</v>
      </c>
      <c r="G106" s="53"/>
      <c r="H106" s="53"/>
      <c r="I106" s="51">
        <f>F106*H105</f>
        <v>3.9198879434699886E-2</v>
      </c>
      <c r="L106" s="53"/>
      <c r="M106" s="27" t="s">
        <v>229</v>
      </c>
      <c r="N106" s="51">
        <v>20</v>
      </c>
      <c r="O106" s="53"/>
      <c r="P106" s="51">
        <f>N106/Q105</f>
        <v>0.4</v>
      </c>
      <c r="Q106" s="53"/>
      <c r="R106" s="53"/>
      <c r="S106" s="51">
        <f>P106*R105</f>
        <v>1.6050076237862136E-2</v>
      </c>
    </row>
    <row r="107" spans="2:19" x14ac:dyDescent="0.35">
      <c r="B107" s="63"/>
      <c r="C107" s="27" t="s">
        <v>230</v>
      </c>
      <c r="D107" s="51">
        <v>25</v>
      </c>
      <c r="E107" s="53"/>
      <c r="F107" s="51">
        <f>D107/G105</f>
        <v>0.25</v>
      </c>
      <c r="G107" s="53"/>
      <c r="H107" s="53"/>
      <c r="I107" s="51">
        <f>F107*H105</f>
        <v>3.9198879434699886E-2</v>
      </c>
      <c r="L107" s="53"/>
      <c r="M107" s="27" t="s">
        <v>230</v>
      </c>
      <c r="N107" s="51">
        <v>20</v>
      </c>
      <c r="O107" s="54"/>
      <c r="P107" s="51">
        <f>N107/Q105</f>
        <v>0.4</v>
      </c>
      <c r="Q107" s="54"/>
      <c r="R107" s="54"/>
      <c r="S107" s="51">
        <f>P107*R105</f>
        <v>1.6050076237862136E-2</v>
      </c>
    </row>
    <row r="108" spans="2:19" x14ac:dyDescent="0.35">
      <c r="B108" s="64"/>
      <c r="C108" s="27" t="s">
        <v>231</v>
      </c>
      <c r="D108" s="51">
        <v>25</v>
      </c>
      <c r="E108" s="54"/>
      <c r="F108" s="51">
        <f>D108/G105</f>
        <v>0.25</v>
      </c>
      <c r="G108" s="54"/>
      <c r="H108" s="54"/>
      <c r="I108" s="51">
        <f>F108*H105</f>
        <v>3.9198879434699886E-2</v>
      </c>
      <c r="L108" s="53"/>
      <c r="M108" s="27" t="s">
        <v>231</v>
      </c>
      <c r="N108" s="51">
        <v>20</v>
      </c>
      <c r="O108" s="52" t="s">
        <v>327</v>
      </c>
      <c r="P108" s="51">
        <f>N108/Q108</f>
        <v>0.4</v>
      </c>
      <c r="Q108" s="52">
        <v>50</v>
      </c>
      <c r="R108" s="52">
        <f>Q108/'MK-CPL'!K82</f>
        <v>3.3796800118964743E-2</v>
      </c>
      <c r="S108" s="51">
        <f>P108*R108</f>
        <v>1.3518720047585898E-2</v>
      </c>
    </row>
    <row r="109" spans="2:19" x14ac:dyDescent="0.35">
      <c r="L109" s="54"/>
      <c r="M109" s="27" t="s">
        <v>232</v>
      </c>
      <c r="N109" s="51">
        <v>20</v>
      </c>
      <c r="O109" s="54"/>
      <c r="P109" s="51">
        <f>N109/Q108</f>
        <v>0.4</v>
      </c>
      <c r="Q109" s="54"/>
      <c r="R109" s="54"/>
      <c r="S109" s="51">
        <f>P109*R108</f>
        <v>1.3518720047585898E-2</v>
      </c>
    </row>
    <row r="111" spans="2:19" ht="58" x14ac:dyDescent="0.35">
      <c r="B111" s="50" t="s">
        <v>93</v>
      </c>
      <c r="C111" s="50" t="s">
        <v>296</v>
      </c>
      <c r="D111" s="50" t="s">
        <v>297</v>
      </c>
      <c r="E111" s="50" t="s">
        <v>298</v>
      </c>
      <c r="F111" s="50" t="s">
        <v>302</v>
      </c>
      <c r="G111" s="50" t="s">
        <v>303</v>
      </c>
      <c r="H111" s="50" t="s">
        <v>304</v>
      </c>
      <c r="I111" s="50" t="s">
        <v>297</v>
      </c>
      <c r="L111" s="50" t="s">
        <v>93</v>
      </c>
      <c r="M111" s="50" t="s">
        <v>296</v>
      </c>
      <c r="N111" s="50" t="s">
        <v>297</v>
      </c>
      <c r="O111" s="50" t="s">
        <v>298</v>
      </c>
      <c r="P111" s="50" t="s">
        <v>302</v>
      </c>
      <c r="Q111" s="50" t="s">
        <v>303</v>
      </c>
      <c r="R111" s="50" t="s">
        <v>304</v>
      </c>
      <c r="S111" s="50" t="s">
        <v>297</v>
      </c>
    </row>
    <row r="112" spans="2:19" x14ac:dyDescent="0.35">
      <c r="B112" s="52" t="s">
        <v>126</v>
      </c>
      <c r="C112" s="27" t="s">
        <v>228</v>
      </c>
      <c r="D112" s="51">
        <v>25</v>
      </c>
      <c r="E112" s="55" t="s">
        <v>300</v>
      </c>
      <c r="F112" s="51">
        <f>D112/G112</f>
        <v>0.5</v>
      </c>
      <c r="G112" s="55">
        <v>50</v>
      </c>
      <c r="H112" s="60">
        <f>G112/'MK-CPL'!P82</f>
        <v>0.17045454545454544</v>
      </c>
      <c r="I112" s="51">
        <f>F112*H112</f>
        <v>8.5227272727272721E-2</v>
      </c>
      <c r="L112" s="52" t="s">
        <v>205</v>
      </c>
      <c r="M112" s="27" t="s">
        <v>228</v>
      </c>
      <c r="N112" s="51">
        <v>20</v>
      </c>
      <c r="O112" s="52" t="s">
        <v>338</v>
      </c>
      <c r="P112" s="51">
        <f>N112/Q112</f>
        <v>0.4</v>
      </c>
      <c r="Q112" s="52">
        <v>50</v>
      </c>
      <c r="R112" s="52">
        <f>Q112/'MK-CPL'!H82</f>
        <v>4.0125190594655337E-2</v>
      </c>
      <c r="S112" s="51">
        <f>P112*R112</f>
        <v>1.6050076237862136E-2</v>
      </c>
    </row>
    <row r="113" spans="2:19" x14ac:dyDescent="0.35">
      <c r="B113" s="53"/>
      <c r="C113" s="27" t="s">
        <v>229</v>
      </c>
      <c r="D113" s="51">
        <v>25</v>
      </c>
      <c r="E113" s="49" t="s">
        <v>316</v>
      </c>
      <c r="F113" s="51">
        <f>D113/G112</f>
        <v>0.5</v>
      </c>
      <c r="G113" s="49">
        <v>50</v>
      </c>
      <c r="H113" s="49">
        <f>G113/'MK-CPL'!L82</f>
        <v>0.13473094230821051</v>
      </c>
      <c r="I113" s="51">
        <f>F113*H113</f>
        <v>6.7365471154105253E-2</v>
      </c>
      <c r="L113" s="53"/>
      <c r="M113" s="27" t="s">
        <v>229</v>
      </c>
      <c r="N113" s="51">
        <v>20</v>
      </c>
      <c r="O113" s="53"/>
      <c r="P113" s="51">
        <f>N113/Q112</f>
        <v>0.4</v>
      </c>
      <c r="Q113" s="53"/>
      <c r="R113" s="53"/>
      <c r="S113" s="51">
        <f>P113*R112</f>
        <v>1.6050076237862136E-2</v>
      </c>
    </row>
    <row r="114" spans="2:19" x14ac:dyDescent="0.35">
      <c r="B114" s="53"/>
      <c r="C114" s="27" t="s">
        <v>230</v>
      </c>
      <c r="D114" s="51">
        <v>25</v>
      </c>
      <c r="E114" s="49"/>
      <c r="F114" s="51">
        <f>D114/G112</f>
        <v>0.5</v>
      </c>
      <c r="G114" s="49"/>
      <c r="H114" s="49"/>
      <c r="I114" s="51">
        <f>F114*H113</f>
        <v>6.7365471154105253E-2</v>
      </c>
      <c r="L114" s="53"/>
      <c r="M114" s="27" t="s">
        <v>230</v>
      </c>
      <c r="N114" s="51">
        <v>20</v>
      </c>
      <c r="O114" s="54"/>
      <c r="P114" s="51">
        <f>N114/Q112</f>
        <v>0.4</v>
      </c>
      <c r="Q114" s="54"/>
      <c r="R114" s="54"/>
      <c r="S114" s="51">
        <f>P114*R112</f>
        <v>1.6050076237862136E-2</v>
      </c>
    </row>
    <row r="115" spans="2:19" x14ac:dyDescent="0.35">
      <c r="B115" s="54"/>
      <c r="C115" s="27" t="s">
        <v>231</v>
      </c>
      <c r="D115" s="51">
        <v>25</v>
      </c>
      <c r="E115" s="49"/>
      <c r="F115" s="51">
        <f>D115/G113</f>
        <v>0.5</v>
      </c>
      <c r="G115" s="49"/>
      <c r="H115" s="49"/>
      <c r="I115" s="51">
        <f>F115*H113</f>
        <v>6.7365471154105253E-2</v>
      </c>
      <c r="L115" s="53"/>
      <c r="M115" s="27" t="s">
        <v>231</v>
      </c>
      <c r="N115" s="51">
        <v>20</v>
      </c>
      <c r="O115" s="52" t="s">
        <v>327</v>
      </c>
      <c r="P115" s="51">
        <f>N115/Q115</f>
        <v>0.4</v>
      </c>
      <c r="Q115" s="52">
        <v>50</v>
      </c>
      <c r="R115" s="52">
        <f>Q115/'MK-CPL'!K82</f>
        <v>3.3796800118964743E-2</v>
      </c>
      <c r="S115" s="51">
        <f>P115*R115</f>
        <v>1.3518720047585898E-2</v>
      </c>
    </row>
    <row r="116" spans="2:19" x14ac:dyDescent="0.35">
      <c r="L116" s="54"/>
      <c r="M116" s="27" t="s">
        <v>232</v>
      </c>
      <c r="N116" s="51">
        <v>20</v>
      </c>
      <c r="O116" s="54"/>
      <c r="P116" s="51">
        <f>N116/Q115</f>
        <v>0.4</v>
      </c>
      <c r="Q116" s="54"/>
      <c r="R116" s="54"/>
      <c r="S116" s="51">
        <f>P116*R115</f>
        <v>1.3518720047585898E-2</v>
      </c>
    </row>
    <row r="118" spans="2:19" ht="58" x14ac:dyDescent="0.35">
      <c r="B118" s="50" t="s">
        <v>93</v>
      </c>
      <c r="C118" s="50" t="s">
        <v>296</v>
      </c>
      <c r="D118" s="50" t="s">
        <v>297</v>
      </c>
      <c r="E118" s="50" t="s">
        <v>298</v>
      </c>
      <c r="F118" s="50" t="s">
        <v>302</v>
      </c>
      <c r="G118" s="50" t="s">
        <v>303</v>
      </c>
      <c r="H118" s="50" t="s">
        <v>304</v>
      </c>
      <c r="I118" s="50" t="s">
        <v>297</v>
      </c>
      <c r="L118" s="50" t="s">
        <v>93</v>
      </c>
      <c r="M118" s="50" t="s">
        <v>296</v>
      </c>
      <c r="N118" s="50" t="s">
        <v>297</v>
      </c>
      <c r="O118" s="50" t="s">
        <v>298</v>
      </c>
      <c r="P118" s="50" t="s">
        <v>302</v>
      </c>
      <c r="Q118" s="50" t="s">
        <v>303</v>
      </c>
      <c r="R118" s="50" t="s">
        <v>304</v>
      </c>
      <c r="S118" s="50" t="s">
        <v>297</v>
      </c>
    </row>
    <row r="119" spans="2:19" x14ac:dyDescent="0.35">
      <c r="B119" s="52" t="s">
        <v>128</v>
      </c>
      <c r="C119" s="27" t="s">
        <v>228</v>
      </c>
      <c r="D119" s="51">
        <v>20</v>
      </c>
      <c r="E119" s="58" t="s">
        <v>338</v>
      </c>
      <c r="F119" s="51">
        <f>D119/50</f>
        <v>0.4</v>
      </c>
      <c r="G119" s="58">
        <v>50</v>
      </c>
      <c r="H119" s="60">
        <f>G119/'MK-CPL'!H82</f>
        <v>4.0125190594655337E-2</v>
      </c>
      <c r="I119" s="51">
        <f>F119*H119</f>
        <v>1.6050076237862136E-2</v>
      </c>
      <c r="L119" s="52" t="s">
        <v>207</v>
      </c>
      <c r="M119" s="27" t="s">
        <v>228</v>
      </c>
      <c r="N119" s="51">
        <v>20</v>
      </c>
      <c r="O119" s="49" t="s">
        <v>315</v>
      </c>
      <c r="P119" s="51">
        <f>N119/Q119</f>
        <v>0.4</v>
      </c>
      <c r="Q119" s="49">
        <v>50</v>
      </c>
      <c r="R119" s="49">
        <f>Q119/'MK-CPL'!J82</f>
        <v>8.7548808460716845E-2</v>
      </c>
      <c r="S119" s="51">
        <f>P119*R119</f>
        <v>3.5019523384286738E-2</v>
      </c>
    </row>
    <row r="120" spans="2:19" x14ac:dyDescent="0.35">
      <c r="B120" s="53"/>
      <c r="C120" s="27" t="s">
        <v>229</v>
      </c>
      <c r="D120" s="51">
        <v>20</v>
      </c>
      <c r="E120" s="52" t="s">
        <v>327</v>
      </c>
      <c r="F120" s="51">
        <f>D120/50</f>
        <v>0.4</v>
      </c>
      <c r="G120" s="52">
        <v>50</v>
      </c>
      <c r="H120" s="52">
        <f>G120/'MK-CPL'!K82</f>
        <v>3.3796800118964743E-2</v>
      </c>
      <c r="I120" s="51">
        <f>F120*H120</f>
        <v>1.3518720047585898E-2</v>
      </c>
      <c r="L120" s="53"/>
      <c r="M120" s="27" t="s">
        <v>229</v>
      </c>
      <c r="N120" s="51">
        <v>20</v>
      </c>
      <c r="O120" s="49"/>
      <c r="P120" s="51">
        <f>N120/Q119</f>
        <v>0.4</v>
      </c>
      <c r="Q120" s="49"/>
      <c r="R120" s="49"/>
      <c r="S120" s="51">
        <f>P120*R119</f>
        <v>3.5019523384286738E-2</v>
      </c>
    </row>
    <row r="121" spans="2:19" x14ac:dyDescent="0.35">
      <c r="B121" s="53"/>
      <c r="C121" s="27" t="s">
        <v>230</v>
      </c>
      <c r="D121" s="51">
        <v>20</v>
      </c>
      <c r="E121" s="53"/>
      <c r="F121" s="51">
        <f>D121/50</f>
        <v>0.4</v>
      </c>
      <c r="G121" s="53"/>
      <c r="H121" s="53"/>
      <c r="I121" s="51">
        <f>F121*H120</f>
        <v>1.3518720047585898E-2</v>
      </c>
      <c r="L121" s="53"/>
      <c r="M121" s="27" t="s">
        <v>230</v>
      </c>
      <c r="N121" s="51">
        <v>20</v>
      </c>
      <c r="O121" s="55" t="s">
        <v>327</v>
      </c>
      <c r="P121" s="51">
        <f>N121/Q119</f>
        <v>0.4</v>
      </c>
      <c r="Q121" s="55">
        <v>50</v>
      </c>
      <c r="R121" s="56">
        <f>Q121/'MK-CPL'!K82</f>
        <v>3.3796800118964743E-2</v>
      </c>
      <c r="S121" s="51">
        <f>P121*R121</f>
        <v>1.3518720047585898E-2</v>
      </c>
    </row>
    <row r="122" spans="2:19" x14ac:dyDescent="0.35">
      <c r="B122" s="53"/>
      <c r="C122" s="27" t="s">
        <v>231</v>
      </c>
      <c r="D122" s="51">
        <v>20</v>
      </c>
      <c r="E122" s="53"/>
      <c r="F122" s="51">
        <f>D122/50</f>
        <v>0.4</v>
      </c>
      <c r="G122" s="53"/>
      <c r="H122" s="53"/>
      <c r="I122" s="51">
        <f>F122*H120</f>
        <v>1.3518720047585898E-2</v>
      </c>
      <c r="L122" s="53"/>
      <c r="M122" s="27" t="s">
        <v>231</v>
      </c>
      <c r="N122" s="51">
        <v>20</v>
      </c>
      <c r="O122" s="49" t="s">
        <v>315</v>
      </c>
      <c r="P122" s="51">
        <f>N122/Q122</f>
        <v>0.4</v>
      </c>
      <c r="Q122" s="49">
        <v>50</v>
      </c>
      <c r="R122" s="49">
        <f>Q122/'MK-CPL'!J82</f>
        <v>8.7548808460716845E-2</v>
      </c>
      <c r="S122" s="51">
        <f>P122*R122</f>
        <v>3.5019523384286738E-2</v>
      </c>
    </row>
    <row r="123" spans="2:19" x14ac:dyDescent="0.35">
      <c r="B123" s="54"/>
      <c r="C123" s="27" t="s">
        <v>232</v>
      </c>
      <c r="D123" s="51">
        <v>20</v>
      </c>
      <c r="E123" s="54"/>
      <c r="F123" s="51">
        <f>D123/50</f>
        <v>0.4</v>
      </c>
      <c r="G123" s="54"/>
      <c r="H123" s="54"/>
      <c r="I123" s="51">
        <f>F123*H120</f>
        <v>1.3518720047585898E-2</v>
      </c>
      <c r="L123" s="54"/>
      <c r="M123" s="27" t="s">
        <v>232</v>
      </c>
      <c r="N123" s="51">
        <v>20</v>
      </c>
      <c r="O123" s="49"/>
      <c r="P123" s="51">
        <f>N123/Q122</f>
        <v>0.4</v>
      </c>
      <c r="Q123" s="49"/>
      <c r="R123" s="49"/>
      <c r="S123" s="51">
        <f>P123*R122</f>
        <v>3.5019523384286738E-2</v>
      </c>
    </row>
    <row r="126" spans="2:19" ht="58" x14ac:dyDescent="0.35">
      <c r="B126" s="50" t="s">
        <v>93</v>
      </c>
      <c r="C126" s="50" t="s">
        <v>296</v>
      </c>
      <c r="D126" s="50" t="s">
        <v>297</v>
      </c>
      <c r="E126" s="50" t="s">
        <v>298</v>
      </c>
      <c r="F126" s="50" t="s">
        <v>302</v>
      </c>
      <c r="G126" s="50" t="s">
        <v>303</v>
      </c>
      <c r="H126" s="50" t="s">
        <v>304</v>
      </c>
      <c r="I126" s="50" t="s">
        <v>297</v>
      </c>
      <c r="L126" s="50" t="s">
        <v>93</v>
      </c>
      <c r="M126" s="50" t="s">
        <v>296</v>
      </c>
      <c r="N126" s="50" t="s">
        <v>297</v>
      </c>
      <c r="O126" s="50" t="s">
        <v>298</v>
      </c>
      <c r="P126" s="50" t="s">
        <v>302</v>
      </c>
      <c r="Q126" s="50" t="s">
        <v>303</v>
      </c>
      <c r="R126" s="50" t="s">
        <v>304</v>
      </c>
      <c r="S126" s="50" t="s">
        <v>297</v>
      </c>
    </row>
    <row r="127" spans="2:19" x14ac:dyDescent="0.35">
      <c r="B127" s="52" t="s">
        <v>130</v>
      </c>
      <c r="C127" s="27" t="s">
        <v>228</v>
      </c>
      <c r="D127" s="51">
        <v>20</v>
      </c>
      <c r="E127" s="55" t="s">
        <v>314</v>
      </c>
      <c r="F127" s="51">
        <f>D127/25</f>
        <v>0.8</v>
      </c>
      <c r="G127" s="55">
        <v>25</v>
      </c>
      <c r="H127" s="55">
        <f>G127/'MK-CPL'!G82</f>
        <v>3.5074427936080357E-2</v>
      </c>
      <c r="I127" s="51">
        <f>F127*H127</f>
        <v>2.8059542348864288E-2</v>
      </c>
      <c r="L127" s="52" t="s">
        <v>209</v>
      </c>
      <c r="M127" s="27" t="s">
        <v>228</v>
      </c>
      <c r="N127" s="51">
        <v>20</v>
      </c>
      <c r="O127" s="49" t="s">
        <v>315</v>
      </c>
      <c r="P127" s="51">
        <f>N127/Q127</f>
        <v>0.4</v>
      </c>
      <c r="Q127" s="49">
        <v>50</v>
      </c>
      <c r="R127" s="49">
        <f>Q127/'MK-CPL'!J82</f>
        <v>8.7548808460716845E-2</v>
      </c>
      <c r="S127" s="51">
        <f>P127*R127</f>
        <v>3.5019523384286738E-2</v>
      </c>
    </row>
    <row r="128" spans="2:19" x14ac:dyDescent="0.35">
      <c r="B128" s="53"/>
      <c r="C128" s="27" t="s">
        <v>229</v>
      </c>
      <c r="D128" s="51">
        <v>20</v>
      </c>
      <c r="E128" s="55" t="s">
        <v>379</v>
      </c>
      <c r="F128" s="51">
        <f>D128/25</f>
        <v>0.8</v>
      </c>
      <c r="G128" s="55">
        <v>25</v>
      </c>
      <c r="H128" s="55">
        <f>G128/'MK-CPL'!I82</f>
        <v>5.4022516584912597E-2</v>
      </c>
      <c r="I128" s="51">
        <f t="shared" ref="I128:I131" si="0">F128*H128</f>
        <v>4.321801326793008E-2</v>
      </c>
      <c r="L128" s="53"/>
      <c r="M128" s="27" t="s">
        <v>229</v>
      </c>
      <c r="N128" s="51">
        <v>20</v>
      </c>
      <c r="O128" s="49"/>
      <c r="P128" s="51">
        <f>N128/Q127</f>
        <v>0.4</v>
      </c>
      <c r="Q128" s="49"/>
      <c r="R128" s="49"/>
      <c r="S128" s="51">
        <f>P128*R127</f>
        <v>3.5019523384286738E-2</v>
      </c>
    </row>
    <row r="129" spans="2:19" x14ac:dyDescent="0.35">
      <c r="B129" s="53"/>
      <c r="C129" s="27" t="s">
        <v>230</v>
      </c>
      <c r="D129" s="51">
        <v>20</v>
      </c>
      <c r="E129" s="55" t="s">
        <v>327</v>
      </c>
      <c r="F129" s="51">
        <f>D129/25</f>
        <v>0.8</v>
      </c>
      <c r="G129" s="55">
        <v>25</v>
      </c>
      <c r="H129" s="55">
        <f>G129/'MK-CPL'!K82</f>
        <v>1.6898400059482371E-2</v>
      </c>
      <c r="I129" s="51">
        <f t="shared" si="0"/>
        <v>1.3518720047585898E-2</v>
      </c>
      <c r="L129" s="53"/>
      <c r="M129" s="27" t="s">
        <v>230</v>
      </c>
      <c r="N129" s="51">
        <v>20</v>
      </c>
      <c r="O129" s="55" t="s">
        <v>327</v>
      </c>
      <c r="P129" s="51">
        <f>N129/Q127</f>
        <v>0.4</v>
      </c>
      <c r="Q129" s="55">
        <v>50</v>
      </c>
      <c r="R129" s="56">
        <f>Q129/'MK-CPL'!K82</f>
        <v>3.3796800118964743E-2</v>
      </c>
      <c r="S129" s="51">
        <f>P129*R129</f>
        <v>1.3518720047585898E-2</v>
      </c>
    </row>
    <row r="130" spans="2:19" x14ac:dyDescent="0.35">
      <c r="B130" s="53"/>
      <c r="C130" s="27" t="s">
        <v>231</v>
      </c>
      <c r="D130" s="51">
        <v>20</v>
      </c>
      <c r="E130" s="55" t="s">
        <v>314</v>
      </c>
      <c r="F130" s="51">
        <f>D130/25</f>
        <v>0.8</v>
      </c>
      <c r="G130" s="55">
        <v>25</v>
      </c>
      <c r="H130" s="55">
        <f>G130/'MK-CPL'!G82</f>
        <v>3.5074427936080357E-2</v>
      </c>
      <c r="I130" s="51">
        <f t="shared" si="0"/>
        <v>2.8059542348864288E-2</v>
      </c>
      <c r="L130" s="53"/>
      <c r="M130" s="27" t="s">
        <v>231</v>
      </c>
      <c r="N130" s="51">
        <v>20</v>
      </c>
      <c r="O130" s="49" t="s">
        <v>315</v>
      </c>
      <c r="P130" s="51">
        <f>N130/Q130</f>
        <v>0.4</v>
      </c>
      <c r="Q130" s="49">
        <v>50</v>
      </c>
      <c r="R130" s="49">
        <f>Q130/'MK-CPL'!J82</f>
        <v>8.7548808460716845E-2</v>
      </c>
      <c r="S130" s="51">
        <f>P130*R130</f>
        <v>3.5019523384286738E-2</v>
      </c>
    </row>
    <row r="131" spans="2:19" x14ac:dyDescent="0.35">
      <c r="B131" s="54"/>
      <c r="C131" s="27" t="s">
        <v>232</v>
      </c>
      <c r="D131" s="51">
        <v>20</v>
      </c>
      <c r="E131" s="55" t="s">
        <v>338</v>
      </c>
      <c r="F131" s="51">
        <f>D131/25</f>
        <v>0.8</v>
      </c>
      <c r="G131" s="55">
        <v>25</v>
      </c>
      <c r="H131" s="55">
        <f>G131/'MK-CPL'!H82</f>
        <v>2.0062595297327668E-2</v>
      </c>
      <c r="I131" s="51">
        <f t="shared" si="0"/>
        <v>1.6050076237862136E-2</v>
      </c>
      <c r="L131" s="54"/>
      <c r="M131" s="27" t="s">
        <v>232</v>
      </c>
      <c r="N131" s="51">
        <v>20</v>
      </c>
      <c r="O131" s="49"/>
      <c r="P131" s="51">
        <f>N131/Q130</f>
        <v>0.4</v>
      </c>
      <c r="Q131" s="49"/>
      <c r="R131" s="49"/>
      <c r="S131" s="51">
        <f>P131*R130</f>
        <v>3.5019523384286738E-2</v>
      </c>
    </row>
    <row r="134" spans="2:19" x14ac:dyDescent="0.35">
      <c r="B134" s="57" t="s">
        <v>132</v>
      </c>
    </row>
    <row r="136" spans="2:19" ht="58" x14ac:dyDescent="0.35">
      <c r="B136" s="50" t="s">
        <v>93</v>
      </c>
      <c r="C136" s="50" t="s">
        <v>296</v>
      </c>
      <c r="D136" s="50" t="s">
        <v>297</v>
      </c>
      <c r="E136" s="50" t="s">
        <v>298</v>
      </c>
      <c r="F136" s="50" t="s">
        <v>302</v>
      </c>
      <c r="G136" s="50" t="s">
        <v>303</v>
      </c>
      <c r="H136" s="50" t="s">
        <v>304</v>
      </c>
      <c r="I136" s="50" t="s">
        <v>297</v>
      </c>
      <c r="L136" s="50" t="s">
        <v>93</v>
      </c>
      <c r="M136" s="50" t="s">
        <v>296</v>
      </c>
      <c r="N136" s="50" t="s">
        <v>297</v>
      </c>
      <c r="O136" s="50" t="s">
        <v>298</v>
      </c>
      <c r="P136" s="50" t="s">
        <v>302</v>
      </c>
      <c r="Q136" s="50" t="s">
        <v>303</v>
      </c>
      <c r="R136" s="50" t="s">
        <v>304</v>
      </c>
      <c r="S136" s="50" t="s">
        <v>297</v>
      </c>
    </row>
    <row r="137" spans="2:19" x14ac:dyDescent="0.35">
      <c r="B137" s="62" t="s">
        <v>133</v>
      </c>
      <c r="C137" s="27" t="s">
        <v>228</v>
      </c>
      <c r="D137" s="51">
        <v>25</v>
      </c>
      <c r="E137" s="52" t="s">
        <v>300</v>
      </c>
      <c r="F137" s="51">
        <f>25/G137</f>
        <v>0.5</v>
      </c>
      <c r="G137" s="52">
        <v>50</v>
      </c>
      <c r="H137" s="52">
        <f>G137/'MK-CPL'!P82</f>
        <v>0.17045454545454544</v>
      </c>
      <c r="I137" s="51">
        <f>F137*H137</f>
        <v>8.5227272727272721E-2</v>
      </c>
      <c r="L137" s="62" t="s">
        <v>211</v>
      </c>
      <c r="M137" s="27" t="s">
        <v>228</v>
      </c>
      <c r="N137" s="51">
        <v>20</v>
      </c>
      <c r="O137" s="55" t="s">
        <v>338</v>
      </c>
      <c r="P137" s="51">
        <f>N137/Q137</f>
        <v>0.4</v>
      </c>
      <c r="Q137" s="55">
        <v>50</v>
      </c>
      <c r="R137" s="55">
        <f>Q137/'MK-CPL'!H82</f>
        <v>4.0125190594655337E-2</v>
      </c>
      <c r="S137" s="51">
        <f>P137*R137</f>
        <v>1.6050076237862136E-2</v>
      </c>
    </row>
    <row r="138" spans="2:19" x14ac:dyDescent="0.35">
      <c r="B138" s="63"/>
      <c r="C138" s="27" t="s">
        <v>229</v>
      </c>
      <c r="D138" s="51">
        <v>25</v>
      </c>
      <c r="E138" s="53"/>
      <c r="F138" s="51">
        <f>D138/G137</f>
        <v>0.5</v>
      </c>
      <c r="G138" s="53"/>
      <c r="H138" s="53"/>
      <c r="I138" s="51">
        <f>F138*H137</f>
        <v>8.5227272727272721E-2</v>
      </c>
      <c r="L138" s="63"/>
      <c r="M138" s="27" t="s">
        <v>229</v>
      </c>
      <c r="N138" s="51">
        <v>20</v>
      </c>
      <c r="O138" s="52" t="s">
        <v>395</v>
      </c>
      <c r="P138" s="51">
        <f>N138/Q137</f>
        <v>0.4</v>
      </c>
      <c r="Q138" s="52">
        <v>50</v>
      </c>
      <c r="R138" s="52">
        <f>Q138/'MK-CPL'!M82</f>
        <v>0.19650998270712153</v>
      </c>
      <c r="S138" s="51">
        <f>P138*R138</f>
        <v>7.8603993082848614E-2</v>
      </c>
    </row>
    <row r="139" spans="2:19" x14ac:dyDescent="0.35">
      <c r="B139" s="63"/>
      <c r="C139" s="27" t="s">
        <v>230</v>
      </c>
      <c r="D139" s="51">
        <v>25</v>
      </c>
      <c r="E139" s="54"/>
      <c r="F139" s="51">
        <f>D139/G137</f>
        <v>0.5</v>
      </c>
      <c r="G139" s="54"/>
      <c r="H139" s="54"/>
      <c r="I139" s="51">
        <f>F139*H137</f>
        <v>8.5227272727272721E-2</v>
      </c>
      <c r="L139" s="63"/>
      <c r="M139" s="27" t="s">
        <v>230</v>
      </c>
      <c r="N139" s="51">
        <v>20</v>
      </c>
      <c r="O139" s="54"/>
      <c r="P139" s="51">
        <f>N139/Q137</f>
        <v>0.4</v>
      </c>
      <c r="Q139" s="54"/>
      <c r="R139" s="54"/>
      <c r="S139" s="51">
        <f>P139*R138</f>
        <v>7.8603993082848614E-2</v>
      </c>
    </row>
    <row r="140" spans="2:19" x14ac:dyDescent="0.35">
      <c r="B140" s="64"/>
      <c r="C140" s="27" t="s">
        <v>231</v>
      </c>
      <c r="D140" s="51">
        <v>25</v>
      </c>
      <c r="E140" s="51" t="s">
        <v>301</v>
      </c>
      <c r="F140" s="51">
        <f>D140/G140</f>
        <v>0.5</v>
      </c>
      <c r="G140" s="51">
        <v>50</v>
      </c>
      <c r="H140" s="51">
        <f>G140/'MK-CPL'!N82</f>
        <v>7.8397758869399772E-2</v>
      </c>
      <c r="I140" s="51">
        <f>F140*H140</f>
        <v>3.9198879434699886E-2</v>
      </c>
      <c r="L140" s="63"/>
      <c r="M140" s="27" t="s">
        <v>231</v>
      </c>
      <c r="N140" s="51">
        <v>20</v>
      </c>
      <c r="O140" s="55" t="s">
        <v>338</v>
      </c>
      <c r="P140" s="51">
        <f>N140/Q140</f>
        <v>0.4</v>
      </c>
      <c r="Q140" s="55">
        <v>50</v>
      </c>
      <c r="R140" s="55">
        <f>Q140/'MK-CPL'!H82</f>
        <v>4.0125190594655337E-2</v>
      </c>
      <c r="S140" s="51">
        <f>P140*R140</f>
        <v>1.6050076237862136E-2</v>
      </c>
    </row>
    <row r="141" spans="2:19" x14ac:dyDescent="0.35">
      <c r="L141" s="64"/>
      <c r="M141" s="27" t="s">
        <v>232</v>
      </c>
      <c r="N141" s="51">
        <v>20</v>
      </c>
      <c r="O141" s="55" t="s">
        <v>395</v>
      </c>
      <c r="P141" s="51">
        <f>N141/Q140</f>
        <v>0.4</v>
      </c>
      <c r="Q141" s="55">
        <v>50</v>
      </c>
      <c r="R141" s="55">
        <f>Q141/'MK-CPL'!M82</f>
        <v>0.19650998270712153</v>
      </c>
      <c r="S141" s="51">
        <f>P141*R141</f>
        <v>7.8603993082848614E-2</v>
      </c>
    </row>
    <row r="143" spans="2:19" ht="58" x14ac:dyDescent="0.35">
      <c r="B143" s="50" t="s">
        <v>93</v>
      </c>
      <c r="C143" s="50" t="s">
        <v>296</v>
      </c>
      <c r="D143" s="50" t="s">
        <v>297</v>
      </c>
      <c r="E143" s="50" t="s">
        <v>298</v>
      </c>
      <c r="F143" s="50" t="s">
        <v>302</v>
      </c>
      <c r="G143" s="50" t="s">
        <v>303</v>
      </c>
      <c r="H143" s="50" t="s">
        <v>304</v>
      </c>
      <c r="I143" s="50" t="s">
        <v>297</v>
      </c>
      <c r="L143" s="50" t="s">
        <v>93</v>
      </c>
      <c r="M143" s="50" t="s">
        <v>296</v>
      </c>
      <c r="N143" s="50" t="s">
        <v>297</v>
      </c>
      <c r="O143" s="50" t="s">
        <v>298</v>
      </c>
      <c r="P143" s="50" t="s">
        <v>302</v>
      </c>
      <c r="Q143" s="50" t="s">
        <v>303</v>
      </c>
      <c r="R143" s="50" t="s">
        <v>304</v>
      </c>
      <c r="S143" s="50" t="s">
        <v>297</v>
      </c>
    </row>
    <row r="144" spans="2:19" x14ac:dyDescent="0.35">
      <c r="B144" s="52" t="s">
        <v>135</v>
      </c>
      <c r="C144" s="27" t="s">
        <v>228</v>
      </c>
      <c r="D144" s="51">
        <v>20</v>
      </c>
      <c r="E144" s="52" t="s">
        <v>315</v>
      </c>
      <c r="F144" s="51">
        <f>D144/50</f>
        <v>0.4</v>
      </c>
      <c r="G144" s="52">
        <v>50</v>
      </c>
      <c r="H144" s="52">
        <f>G144/'MK-CPL'!J82</f>
        <v>8.7548808460716845E-2</v>
      </c>
      <c r="I144" s="51">
        <f>F144*H144</f>
        <v>3.5019523384286738E-2</v>
      </c>
      <c r="L144" s="62" t="s">
        <v>248</v>
      </c>
      <c r="M144" s="27" t="s">
        <v>228</v>
      </c>
      <c r="N144" s="51">
        <v>20</v>
      </c>
      <c r="O144" s="49" t="s">
        <v>338</v>
      </c>
      <c r="P144" s="51">
        <f>N144/Q144</f>
        <v>0.4</v>
      </c>
      <c r="Q144" s="49">
        <v>50</v>
      </c>
      <c r="R144" s="49">
        <f>Q144/'MK-CPL'!H82</f>
        <v>4.0125190594655337E-2</v>
      </c>
      <c r="S144" s="51">
        <f>P144*R144</f>
        <v>1.6050076237862136E-2</v>
      </c>
    </row>
    <row r="145" spans="2:19" x14ac:dyDescent="0.35">
      <c r="B145" s="53"/>
      <c r="C145" s="27" t="s">
        <v>229</v>
      </c>
      <c r="D145" s="51">
        <v>20</v>
      </c>
      <c r="E145" s="54"/>
      <c r="F145" s="51">
        <f>D145/50</f>
        <v>0.4</v>
      </c>
      <c r="G145" s="54"/>
      <c r="H145" s="54"/>
      <c r="I145" s="51">
        <f>F145*H144</f>
        <v>3.5019523384286738E-2</v>
      </c>
      <c r="L145" s="63"/>
      <c r="M145" s="27" t="s">
        <v>229</v>
      </c>
      <c r="N145" s="51">
        <v>20</v>
      </c>
      <c r="O145" s="49"/>
      <c r="P145" s="51">
        <f>N145/Q144</f>
        <v>0.4</v>
      </c>
      <c r="Q145" s="49"/>
      <c r="R145" s="49"/>
      <c r="S145" s="51">
        <f>P145*R144</f>
        <v>1.6050076237862136E-2</v>
      </c>
    </row>
    <row r="146" spans="2:19" x14ac:dyDescent="0.35">
      <c r="B146" s="53"/>
      <c r="C146" s="27" t="s">
        <v>230</v>
      </c>
      <c r="D146" s="51">
        <v>20</v>
      </c>
      <c r="E146" s="52" t="s">
        <v>314</v>
      </c>
      <c r="F146" s="51">
        <f>D146/50</f>
        <v>0.4</v>
      </c>
      <c r="G146" s="52">
        <v>50</v>
      </c>
      <c r="H146" s="52">
        <f>G146/'MK-CPL'!G82</f>
        <v>7.0148855872160715E-2</v>
      </c>
      <c r="I146" s="51">
        <f>F146*H146</f>
        <v>2.8059542348864288E-2</v>
      </c>
      <c r="L146" s="63"/>
      <c r="M146" s="27" t="s">
        <v>230</v>
      </c>
      <c r="N146" s="51">
        <v>20</v>
      </c>
      <c r="O146" s="55" t="s">
        <v>327</v>
      </c>
      <c r="P146" s="51">
        <f>N146/Q144</f>
        <v>0.4</v>
      </c>
      <c r="Q146" s="55">
        <v>50</v>
      </c>
      <c r="R146" s="56">
        <f>Q146/'MK-CPL'!K82</f>
        <v>3.3796800118964743E-2</v>
      </c>
      <c r="S146" s="51">
        <f>P146*R146</f>
        <v>1.3518720047585898E-2</v>
      </c>
    </row>
    <row r="147" spans="2:19" x14ac:dyDescent="0.35">
      <c r="B147" s="53"/>
      <c r="C147" s="27" t="s">
        <v>231</v>
      </c>
      <c r="D147" s="51">
        <v>20</v>
      </c>
      <c r="E147" s="53"/>
      <c r="F147" s="51">
        <f>D147/50</f>
        <v>0.4</v>
      </c>
      <c r="G147" s="53"/>
      <c r="H147" s="53"/>
      <c r="I147" s="51">
        <f>F147*H146</f>
        <v>2.8059542348864288E-2</v>
      </c>
      <c r="L147" s="63"/>
      <c r="M147" s="27" t="s">
        <v>231</v>
      </c>
      <c r="N147" s="51">
        <v>20</v>
      </c>
      <c r="O147" s="49" t="s">
        <v>338</v>
      </c>
      <c r="P147" s="51">
        <f>N147/Q147</f>
        <v>0.4</v>
      </c>
      <c r="Q147" s="49">
        <v>50</v>
      </c>
      <c r="R147" s="49">
        <f>Q147/'MK-CPL'!H82</f>
        <v>4.0125190594655337E-2</v>
      </c>
      <c r="S147" s="51">
        <f>P147*R147</f>
        <v>1.6050076237862136E-2</v>
      </c>
    </row>
    <row r="148" spans="2:19" x14ac:dyDescent="0.35">
      <c r="B148" s="54"/>
      <c r="C148" s="27" t="s">
        <v>232</v>
      </c>
      <c r="D148" s="51">
        <v>20</v>
      </c>
      <c r="E148" s="54"/>
      <c r="F148" s="51">
        <f>D148/50</f>
        <v>0.4</v>
      </c>
      <c r="G148" s="54"/>
      <c r="H148" s="54"/>
      <c r="I148" s="51">
        <f>F148*H146</f>
        <v>2.8059542348864288E-2</v>
      </c>
      <c r="L148" s="64"/>
      <c r="M148" s="27" t="s">
        <v>232</v>
      </c>
      <c r="N148" s="51">
        <v>20</v>
      </c>
      <c r="O148" s="49"/>
      <c r="P148" s="51">
        <f>N148/Q147</f>
        <v>0.4</v>
      </c>
      <c r="Q148" s="49"/>
      <c r="R148" s="49"/>
      <c r="S148" s="51">
        <f>P148*R147</f>
        <v>1.6050076237862136E-2</v>
      </c>
    </row>
    <row r="151" spans="2:19" ht="58" x14ac:dyDescent="0.35">
      <c r="B151" s="50" t="s">
        <v>93</v>
      </c>
      <c r="C151" s="50" t="s">
        <v>296</v>
      </c>
      <c r="D151" s="50" t="s">
        <v>297</v>
      </c>
      <c r="E151" s="50" t="s">
        <v>298</v>
      </c>
      <c r="F151" s="50" t="s">
        <v>302</v>
      </c>
      <c r="G151" s="50" t="s">
        <v>303</v>
      </c>
      <c r="H151" s="50" t="s">
        <v>304</v>
      </c>
      <c r="I151" s="50" t="s">
        <v>297</v>
      </c>
      <c r="L151" s="50" t="s">
        <v>93</v>
      </c>
      <c r="M151" s="50" t="s">
        <v>296</v>
      </c>
      <c r="N151" s="50" t="s">
        <v>297</v>
      </c>
      <c r="O151" s="50" t="s">
        <v>298</v>
      </c>
      <c r="P151" s="50" t="s">
        <v>302</v>
      </c>
      <c r="Q151" s="50" t="s">
        <v>303</v>
      </c>
      <c r="R151" s="50" t="s">
        <v>304</v>
      </c>
      <c r="S151" s="50" t="s">
        <v>297</v>
      </c>
    </row>
    <row r="152" spans="2:19" x14ac:dyDescent="0.35">
      <c r="B152" s="52" t="s">
        <v>136</v>
      </c>
      <c r="C152" s="27" t="s">
        <v>228</v>
      </c>
      <c r="D152" s="51">
        <v>20</v>
      </c>
      <c r="E152" s="58" t="s">
        <v>314</v>
      </c>
      <c r="F152" s="51">
        <f>D152/50</f>
        <v>0.4</v>
      </c>
      <c r="G152" s="58">
        <v>50</v>
      </c>
      <c r="H152" s="56">
        <f>G152/'MK-CPL'!G82</f>
        <v>7.0148855872160715E-2</v>
      </c>
      <c r="I152" s="51">
        <f>F152*H152</f>
        <v>2.8059542348864288E-2</v>
      </c>
      <c r="L152" s="62" t="s">
        <v>213</v>
      </c>
      <c r="M152" s="27" t="s">
        <v>228</v>
      </c>
      <c r="N152" s="51">
        <v>20</v>
      </c>
      <c r="O152" s="52" t="s">
        <v>338</v>
      </c>
      <c r="P152" s="51">
        <f>N152/Q152</f>
        <v>0.4</v>
      </c>
      <c r="Q152" s="52">
        <v>50</v>
      </c>
      <c r="R152" s="52">
        <f>Q152/'MK-CPL'!H82</f>
        <v>4.0125190594655337E-2</v>
      </c>
      <c r="S152" s="51">
        <f>P152*R152</f>
        <v>1.6050076237862136E-2</v>
      </c>
    </row>
    <row r="153" spans="2:19" x14ac:dyDescent="0.35">
      <c r="B153" s="53"/>
      <c r="C153" s="27" t="s">
        <v>229</v>
      </c>
      <c r="D153" s="51">
        <v>20</v>
      </c>
      <c r="E153" s="49" t="s">
        <v>315</v>
      </c>
      <c r="F153" s="51">
        <f>D153/50</f>
        <v>0.4</v>
      </c>
      <c r="G153" s="49">
        <v>50</v>
      </c>
      <c r="H153" s="49">
        <f>G153/'MK-CPL'!J82</f>
        <v>8.7548808460716845E-2</v>
      </c>
      <c r="I153" s="51">
        <f>F153*H153</f>
        <v>3.5019523384286738E-2</v>
      </c>
      <c r="L153" s="63"/>
      <c r="M153" s="27" t="s">
        <v>229</v>
      </c>
      <c r="N153" s="51">
        <v>20</v>
      </c>
      <c r="O153" s="53"/>
      <c r="P153" s="51">
        <f>N153/Q152</f>
        <v>0.4</v>
      </c>
      <c r="Q153" s="53"/>
      <c r="R153" s="53"/>
      <c r="S153" s="51">
        <f>P153*R152</f>
        <v>1.6050076237862136E-2</v>
      </c>
    </row>
    <row r="154" spans="2:19" x14ac:dyDescent="0.35">
      <c r="B154" s="53"/>
      <c r="C154" s="27" t="s">
        <v>230</v>
      </c>
      <c r="D154" s="51">
        <v>20</v>
      </c>
      <c r="E154" s="49"/>
      <c r="F154" s="51">
        <f>D154/50</f>
        <v>0.4</v>
      </c>
      <c r="G154" s="49"/>
      <c r="H154" s="49"/>
      <c r="I154" s="51">
        <f>F154*H153</f>
        <v>3.5019523384286738E-2</v>
      </c>
      <c r="L154" s="63"/>
      <c r="M154" s="27" t="s">
        <v>230</v>
      </c>
      <c r="N154" s="51">
        <v>20</v>
      </c>
      <c r="O154" s="53"/>
      <c r="P154" s="51">
        <f>N154/Q152</f>
        <v>0.4</v>
      </c>
      <c r="Q154" s="53"/>
      <c r="R154" s="53"/>
      <c r="S154" s="51">
        <f>P154*R152</f>
        <v>1.6050076237862136E-2</v>
      </c>
    </row>
    <row r="155" spans="2:19" x14ac:dyDescent="0.35">
      <c r="B155" s="53"/>
      <c r="C155" s="27" t="s">
        <v>231</v>
      </c>
      <c r="D155" s="51">
        <v>20</v>
      </c>
      <c r="E155" s="55" t="s">
        <v>314</v>
      </c>
      <c r="F155" s="51">
        <f>D155/50</f>
        <v>0.4</v>
      </c>
      <c r="G155" s="55">
        <v>50</v>
      </c>
      <c r="H155" s="56">
        <f>G155/'MK-CPL'!G82</f>
        <v>7.0148855872160715E-2</v>
      </c>
      <c r="I155" s="51">
        <f>F155*H155</f>
        <v>2.8059542348864288E-2</v>
      </c>
      <c r="L155" s="63"/>
      <c r="M155" s="27" t="s">
        <v>231</v>
      </c>
      <c r="N155" s="51">
        <v>20</v>
      </c>
      <c r="O155" s="54"/>
      <c r="P155" s="51">
        <f>N155/Q152</f>
        <v>0.4</v>
      </c>
      <c r="Q155" s="54"/>
      <c r="R155" s="54"/>
      <c r="S155" s="51">
        <f>P155*R152</f>
        <v>1.6050076237862136E-2</v>
      </c>
    </row>
    <row r="156" spans="2:19" x14ac:dyDescent="0.35">
      <c r="B156" s="54"/>
      <c r="C156" s="27" t="s">
        <v>232</v>
      </c>
      <c r="D156" s="51">
        <v>20</v>
      </c>
      <c r="E156" s="59" t="s">
        <v>315</v>
      </c>
      <c r="F156" s="51">
        <f>D156/50</f>
        <v>0.4</v>
      </c>
      <c r="G156" s="55">
        <v>50</v>
      </c>
      <c r="H156" s="56">
        <f>G156/'MK-CPL'!J82</f>
        <v>8.7548808460716845E-2</v>
      </c>
      <c r="I156" s="51">
        <f>F156*H156</f>
        <v>3.5019523384286738E-2</v>
      </c>
      <c r="L156" s="64"/>
      <c r="M156" s="27" t="s">
        <v>232</v>
      </c>
      <c r="N156" s="51">
        <v>20</v>
      </c>
      <c r="O156" s="55" t="s">
        <v>301</v>
      </c>
      <c r="P156" s="51">
        <f>N156/Q156</f>
        <v>0.4</v>
      </c>
      <c r="Q156" s="55">
        <v>50</v>
      </c>
      <c r="R156" s="56">
        <f>Q156/'MK-CPL'!N82</f>
        <v>7.8397758869399772E-2</v>
      </c>
      <c r="S156" s="51">
        <f>P156*R156</f>
        <v>3.1359103547759913E-2</v>
      </c>
    </row>
    <row r="159" spans="2:19" ht="58" x14ac:dyDescent="0.35">
      <c r="B159" s="50" t="s">
        <v>93</v>
      </c>
      <c r="C159" s="50" t="s">
        <v>296</v>
      </c>
      <c r="D159" s="50" t="s">
        <v>297</v>
      </c>
      <c r="E159" s="50" t="s">
        <v>298</v>
      </c>
      <c r="F159" s="50" t="s">
        <v>302</v>
      </c>
      <c r="G159" s="50" t="s">
        <v>303</v>
      </c>
      <c r="H159" s="50" t="s">
        <v>304</v>
      </c>
      <c r="I159" s="50" t="s">
        <v>297</v>
      </c>
      <c r="L159" s="50" t="s">
        <v>93</v>
      </c>
      <c r="M159" s="50" t="s">
        <v>296</v>
      </c>
      <c r="N159" s="50" t="s">
        <v>297</v>
      </c>
      <c r="O159" s="50" t="s">
        <v>298</v>
      </c>
      <c r="P159" s="50" t="s">
        <v>302</v>
      </c>
      <c r="Q159" s="50" t="s">
        <v>303</v>
      </c>
      <c r="R159" s="50" t="s">
        <v>304</v>
      </c>
      <c r="S159" s="50" t="s">
        <v>297</v>
      </c>
    </row>
    <row r="160" spans="2:19" x14ac:dyDescent="0.35">
      <c r="B160" s="62" t="s">
        <v>137</v>
      </c>
      <c r="C160" s="27" t="s">
        <v>228</v>
      </c>
      <c r="D160" s="51">
        <v>20</v>
      </c>
      <c r="E160" s="58" t="s">
        <v>395</v>
      </c>
      <c r="F160" s="51">
        <f>D160/50</f>
        <v>0.4</v>
      </c>
      <c r="G160" s="58">
        <v>50</v>
      </c>
      <c r="H160" s="56">
        <f>G160/'MK-CPL'!M82</f>
        <v>0.19650998270712153</v>
      </c>
      <c r="I160" s="51">
        <f>F160*H160</f>
        <v>7.8603993082848614E-2</v>
      </c>
      <c r="L160" s="62" t="s">
        <v>215</v>
      </c>
      <c r="M160" s="27" t="s">
        <v>228</v>
      </c>
      <c r="N160" s="51">
        <v>20</v>
      </c>
      <c r="O160" s="52" t="s">
        <v>338</v>
      </c>
      <c r="P160" s="51">
        <f>N160/Q160</f>
        <v>0.4</v>
      </c>
      <c r="Q160" s="52">
        <v>50</v>
      </c>
      <c r="R160" s="52">
        <f>Q160/'MK-CPL'!H82</f>
        <v>4.0125190594655337E-2</v>
      </c>
      <c r="S160" s="51">
        <f>P160*R160</f>
        <v>1.6050076237862136E-2</v>
      </c>
    </row>
    <row r="161" spans="2:19" x14ac:dyDescent="0.35">
      <c r="B161" s="63"/>
      <c r="C161" s="27" t="s">
        <v>229</v>
      </c>
      <c r="D161" s="51">
        <v>20</v>
      </c>
      <c r="E161" s="55" t="s">
        <v>315</v>
      </c>
      <c r="F161" s="51">
        <f>D161/50</f>
        <v>0.4</v>
      </c>
      <c r="G161" s="55">
        <v>50</v>
      </c>
      <c r="H161" s="56">
        <f>G161/'MK-CPL'!J82</f>
        <v>8.7548808460716845E-2</v>
      </c>
      <c r="I161" s="51">
        <f>F161*H161</f>
        <v>3.5019523384286738E-2</v>
      </c>
      <c r="L161" s="63"/>
      <c r="M161" s="27" t="s">
        <v>229</v>
      </c>
      <c r="N161" s="51">
        <v>20</v>
      </c>
      <c r="O161" s="53"/>
      <c r="P161" s="51">
        <f>N161/Q160</f>
        <v>0.4</v>
      </c>
      <c r="Q161" s="53"/>
      <c r="R161" s="53"/>
      <c r="S161" s="51">
        <f>P161*R160</f>
        <v>1.6050076237862136E-2</v>
      </c>
    </row>
    <row r="162" spans="2:19" x14ac:dyDescent="0.35">
      <c r="B162" s="63"/>
      <c r="C162" s="27" t="s">
        <v>230</v>
      </c>
      <c r="D162" s="51">
        <v>20</v>
      </c>
      <c r="E162" s="55" t="s">
        <v>395</v>
      </c>
      <c r="F162" s="51">
        <f>D162/50</f>
        <v>0.4</v>
      </c>
      <c r="G162" s="55">
        <v>50</v>
      </c>
      <c r="H162" s="56">
        <f>G162/'MK-CPL'!M82</f>
        <v>0.19650998270712153</v>
      </c>
      <c r="I162" s="51">
        <f>F162*H162</f>
        <v>7.8603993082848614E-2</v>
      </c>
      <c r="L162" s="63"/>
      <c r="M162" s="27" t="s">
        <v>230</v>
      </c>
      <c r="N162" s="51">
        <v>20</v>
      </c>
      <c r="O162" s="53"/>
      <c r="P162" s="51">
        <f>N162/Q160</f>
        <v>0.4</v>
      </c>
      <c r="Q162" s="53"/>
      <c r="R162" s="53"/>
      <c r="S162" s="51">
        <f>P162*R160</f>
        <v>1.6050076237862136E-2</v>
      </c>
    </row>
    <row r="163" spans="2:19" x14ac:dyDescent="0.35">
      <c r="B163" s="63"/>
      <c r="C163" s="27" t="s">
        <v>231</v>
      </c>
      <c r="D163" s="51">
        <v>20</v>
      </c>
      <c r="E163" s="52" t="s">
        <v>315</v>
      </c>
      <c r="F163" s="51">
        <f>D163/50</f>
        <v>0.4</v>
      </c>
      <c r="G163" s="52">
        <v>50</v>
      </c>
      <c r="H163" s="52">
        <f>G163/'MK-CPL'!J82</f>
        <v>8.7548808460716845E-2</v>
      </c>
      <c r="I163" s="51">
        <f>F163*H163</f>
        <v>3.5019523384286738E-2</v>
      </c>
      <c r="L163" s="63"/>
      <c r="M163" s="27" t="s">
        <v>231</v>
      </c>
      <c r="N163" s="51">
        <v>20</v>
      </c>
      <c r="O163" s="54"/>
      <c r="P163" s="51">
        <f>N163/Q160</f>
        <v>0.4</v>
      </c>
      <c r="Q163" s="54"/>
      <c r="R163" s="54"/>
      <c r="S163" s="51">
        <f>P163*R160</f>
        <v>1.6050076237862136E-2</v>
      </c>
    </row>
    <row r="164" spans="2:19" x14ac:dyDescent="0.35">
      <c r="B164" s="64"/>
      <c r="C164" s="27" t="s">
        <v>232</v>
      </c>
      <c r="D164" s="51">
        <v>20</v>
      </c>
      <c r="E164" s="54"/>
      <c r="F164" s="51">
        <f>D164/50</f>
        <v>0.4</v>
      </c>
      <c r="G164" s="54"/>
      <c r="H164" s="54"/>
      <c r="I164" s="51">
        <f>F164*H163</f>
        <v>3.5019523384286738E-2</v>
      </c>
      <c r="L164" s="64"/>
      <c r="M164" s="27" t="s">
        <v>232</v>
      </c>
      <c r="N164" s="51">
        <v>20</v>
      </c>
      <c r="O164" s="55" t="s">
        <v>327</v>
      </c>
      <c r="P164" s="51">
        <f>N164/Q164</f>
        <v>0.4</v>
      </c>
      <c r="Q164" s="55">
        <v>50</v>
      </c>
      <c r="R164" s="56">
        <f>Q164/'MK-CPL'!K82</f>
        <v>3.3796800118964743E-2</v>
      </c>
      <c r="S164" s="51">
        <f>P164*R164</f>
        <v>1.3518720047585898E-2</v>
      </c>
    </row>
    <row r="166" spans="2:19" x14ac:dyDescent="0.35">
      <c r="L166" s="57" t="s">
        <v>577</v>
      </c>
    </row>
    <row r="167" spans="2:19" ht="58" x14ac:dyDescent="0.35">
      <c r="B167" s="50" t="s">
        <v>93</v>
      </c>
      <c r="C167" s="50" t="s">
        <v>296</v>
      </c>
      <c r="D167" s="50" t="s">
        <v>297</v>
      </c>
      <c r="E167" s="50" t="s">
        <v>298</v>
      </c>
      <c r="F167" s="50" t="s">
        <v>302</v>
      </c>
      <c r="G167" s="50" t="s">
        <v>303</v>
      </c>
      <c r="H167" s="50" t="s">
        <v>304</v>
      </c>
      <c r="I167" s="50" t="s">
        <v>297</v>
      </c>
      <c r="L167" s="50" t="s">
        <v>93</v>
      </c>
      <c r="M167" s="50" t="s">
        <v>296</v>
      </c>
      <c r="N167" s="50" t="s">
        <v>297</v>
      </c>
      <c r="O167" s="50" t="s">
        <v>298</v>
      </c>
      <c r="P167" s="50" t="s">
        <v>302</v>
      </c>
      <c r="Q167" s="50" t="s">
        <v>303</v>
      </c>
      <c r="R167" s="50" t="s">
        <v>304</v>
      </c>
      <c r="S167" s="50" t="s">
        <v>297</v>
      </c>
    </row>
    <row r="168" spans="2:19" x14ac:dyDescent="0.35">
      <c r="B168" s="62" t="s">
        <v>139</v>
      </c>
      <c r="C168" s="27" t="s">
        <v>228</v>
      </c>
      <c r="D168" s="51">
        <v>20</v>
      </c>
      <c r="E168" s="52" t="s">
        <v>338</v>
      </c>
      <c r="F168" s="51">
        <f>D168/50</f>
        <v>0.4</v>
      </c>
      <c r="G168" s="52">
        <v>50</v>
      </c>
      <c r="H168" s="52">
        <f>G168/'MK-CPL'!H82</f>
        <v>4.0125190594655337E-2</v>
      </c>
      <c r="I168" s="51">
        <f>F168*H168</f>
        <v>1.6050076237862136E-2</v>
      </c>
      <c r="L168" s="62" t="s">
        <v>584</v>
      </c>
      <c r="M168" s="27" t="s">
        <v>228</v>
      </c>
      <c r="N168" s="51">
        <v>15</v>
      </c>
      <c r="O168" s="55" t="s">
        <v>338</v>
      </c>
      <c r="P168" s="51">
        <f>N168/Q168</f>
        <v>0.45004500450045004</v>
      </c>
      <c r="Q168" s="55">
        <v>33.33</v>
      </c>
      <c r="R168" s="56">
        <f>Q168/'MK-CPL'!H82</f>
        <v>2.6747452050397243E-2</v>
      </c>
      <c r="S168" s="51">
        <f>P168*R168</f>
        <v>1.2037557178396599E-2</v>
      </c>
    </row>
    <row r="169" spans="2:19" x14ac:dyDescent="0.35">
      <c r="B169" s="63"/>
      <c r="C169" s="27" t="s">
        <v>229</v>
      </c>
      <c r="D169" s="51">
        <v>20</v>
      </c>
      <c r="E169" s="54"/>
      <c r="F169" s="51">
        <f>D169/50</f>
        <v>0.4</v>
      </c>
      <c r="G169" s="54"/>
      <c r="H169" s="54"/>
      <c r="I169" s="51">
        <f>F169*H168</f>
        <v>1.6050076237862136E-2</v>
      </c>
      <c r="L169" s="63"/>
      <c r="M169" s="27" t="s">
        <v>229</v>
      </c>
      <c r="N169" s="51">
        <v>15</v>
      </c>
      <c r="O169" s="49" t="s">
        <v>395</v>
      </c>
      <c r="P169" s="51">
        <f>N169/Q169</f>
        <v>0.45004500450045004</v>
      </c>
      <c r="Q169" s="49">
        <v>33.33</v>
      </c>
      <c r="R169" s="49">
        <f>Q169/'MK-CPL'!M82</f>
        <v>0.13099355447256719</v>
      </c>
      <c r="S169" s="51">
        <f>P169*R169</f>
        <v>5.895299481213645E-2</v>
      </c>
    </row>
    <row r="170" spans="2:19" x14ac:dyDescent="0.35">
      <c r="B170" s="63"/>
      <c r="C170" s="27" t="s">
        <v>230</v>
      </c>
      <c r="D170" s="51">
        <v>20</v>
      </c>
      <c r="E170" s="52" t="s">
        <v>327</v>
      </c>
      <c r="F170" s="51">
        <f>D170/50</f>
        <v>0.4</v>
      </c>
      <c r="G170" s="52">
        <v>50</v>
      </c>
      <c r="H170" s="52">
        <f>G170/'MK-CPL'!K82</f>
        <v>3.3796800118964743E-2</v>
      </c>
      <c r="I170" s="51">
        <f>F170*H170</f>
        <v>1.3518720047585898E-2</v>
      </c>
      <c r="L170" s="63"/>
      <c r="M170" s="27" t="s">
        <v>230</v>
      </c>
      <c r="N170" s="51">
        <v>15</v>
      </c>
      <c r="O170" s="49"/>
      <c r="P170" s="51">
        <f>N170/Q169</f>
        <v>0.45004500450045004</v>
      </c>
      <c r="Q170" s="49"/>
      <c r="R170" s="49"/>
      <c r="S170" s="51">
        <f>P170*R169</f>
        <v>5.895299481213645E-2</v>
      </c>
    </row>
    <row r="171" spans="2:19" x14ac:dyDescent="0.35">
      <c r="B171" s="63"/>
      <c r="C171" s="27" t="s">
        <v>231</v>
      </c>
      <c r="D171" s="51">
        <v>20</v>
      </c>
      <c r="E171" s="53"/>
      <c r="F171" s="51">
        <f>D171/50</f>
        <v>0.4</v>
      </c>
      <c r="G171" s="53"/>
      <c r="H171" s="53"/>
      <c r="I171" s="51">
        <f>F171*H170</f>
        <v>1.3518720047585898E-2</v>
      </c>
      <c r="L171" s="63"/>
      <c r="M171" s="27" t="s">
        <v>231</v>
      </c>
      <c r="N171" s="51">
        <v>15</v>
      </c>
      <c r="O171" s="55" t="s">
        <v>301</v>
      </c>
      <c r="P171" s="51">
        <f>N171/Q171</f>
        <v>0.45004500450045004</v>
      </c>
      <c r="Q171" s="55">
        <v>33.33</v>
      </c>
      <c r="R171" s="56">
        <f>Q171/'MK-CPL'!N82</f>
        <v>5.225994606234189E-2</v>
      </c>
      <c r="S171" s="51">
        <f>P171*R171</f>
        <v>2.3519327660819933E-2</v>
      </c>
    </row>
    <row r="172" spans="2:19" x14ac:dyDescent="0.35">
      <c r="B172" s="64"/>
      <c r="C172" s="27" t="s">
        <v>232</v>
      </c>
      <c r="D172" s="51">
        <v>20</v>
      </c>
      <c r="E172" s="54"/>
      <c r="F172" s="51">
        <f>D172/50</f>
        <v>0.4</v>
      </c>
      <c r="G172" s="54"/>
      <c r="H172" s="54"/>
      <c r="I172" s="51">
        <f>F172*H170</f>
        <v>1.3518720047585898E-2</v>
      </c>
      <c r="L172" s="63"/>
      <c r="M172" s="27" t="s">
        <v>232</v>
      </c>
      <c r="N172" s="51">
        <v>15</v>
      </c>
      <c r="O172" s="49" t="s">
        <v>395</v>
      </c>
      <c r="P172" s="51">
        <f>N172/Q172</f>
        <v>0.45004500450045004</v>
      </c>
      <c r="Q172" s="49">
        <v>33.33</v>
      </c>
      <c r="R172" s="49">
        <f>Q172/'MK-CPL'!M82</f>
        <v>0.13099355447256719</v>
      </c>
      <c r="S172" s="51">
        <f>P172*R172</f>
        <v>5.895299481213645E-2</v>
      </c>
    </row>
    <row r="173" spans="2:19" x14ac:dyDescent="0.35">
      <c r="L173" s="64"/>
      <c r="M173" s="27" t="s">
        <v>263</v>
      </c>
      <c r="N173" s="51">
        <v>25</v>
      </c>
      <c r="O173" s="49"/>
      <c r="P173" s="51">
        <f>N173/Q172</f>
        <v>0.75007500750075007</v>
      </c>
      <c r="Q173" s="49"/>
      <c r="R173" s="49"/>
      <c r="S173" s="51">
        <f>P173*R172</f>
        <v>9.825499135356075E-2</v>
      </c>
    </row>
    <row r="175" spans="2:19" ht="58" x14ac:dyDescent="0.35">
      <c r="B175" s="50" t="s">
        <v>93</v>
      </c>
      <c r="C175" s="50" t="s">
        <v>296</v>
      </c>
      <c r="D175" s="50" t="s">
        <v>297</v>
      </c>
      <c r="E175" s="50" t="s">
        <v>298</v>
      </c>
      <c r="F175" s="50" t="s">
        <v>302</v>
      </c>
      <c r="G175" s="50" t="s">
        <v>303</v>
      </c>
      <c r="H175" s="50" t="s">
        <v>304</v>
      </c>
      <c r="I175" s="50" t="s">
        <v>297</v>
      </c>
      <c r="L175" s="50" t="s">
        <v>93</v>
      </c>
      <c r="M175" s="50" t="s">
        <v>296</v>
      </c>
      <c r="N175" s="50" t="s">
        <v>297</v>
      </c>
      <c r="O175" s="50" t="s">
        <v>298</v>
      </c>
      <c r="P175" s="50" t="s">
        <v>302</v>
      </c>
      <c r="Q175" s="50" t="s">
        <v>303</v>
      </c>
      <c r="R175" s="50" t="s">
        <v>304</v>
      </c>
      <c r="S175" s="50" t="s">
        <v>297</v>
      </c>
    </row>
    <row r="176" spans="2:19" x14ac:dyDescent="0.35">
      <c r="B176" s="62" t="s">
        <v>140</v>
      </c>
      <c r="C176" s="27" t="s">
        <v>228</v>
      </c>
      <c r="D176" s="51">
        <v>20</v>
      </c>
      <c r="E176" s="52" t="s">
        <v>299</v>
      </c>
      <c r="F176" s="51">
        <f>D176/50</f>
        <v>0.4</v>
      </c>
      <c r="G176" s="52">
        <v>50</v>
      </c>
      <c r="H176" s="52">
        <f>G176/'MK-CPL'!O82</f>
        <v>0.13473336267526564</v>
      </c>
      <c r="I176" s="51">
        <f>F176*H176</f>
        <v>5.3893345070106263E-2</v>
      </c>
      <c r="L176" s="62" t="s">
        <v>220</v>
      </c>
      <c r="M176" s="27" t="s">
        <v>228</v>
      </c>
      <c r="N176" s="51">
        <v>15</v>
      </c>
      <c r="O176" s="55" t="s">
        <v>315</v>
      </c>
      <c r="P176" s="51">
        <f>N176/Q176</f>
        <v>1.3501350135013501</v>
      </c>
      <c r="Q176" s="55">
        <v>11.11</v>
      </c>
      <c r="R176" s="56">
        <f>Q176/'MK-CPL'!J82</f>
        <v>1.9453345239971283E-2</v>
      </c>
      <c r="S176" s="51">
        <f>P176*R176</f>
        <v>2.6264642538215054E-2</v>
      </c>
    </row>
    <row r="177" spans="2:19" x14ac:dyDescent="0.35">
      <c r="B177" s="63"/>
      <c r="C177" s="27" t="s">
        <v>229</v>
      </c>
      <c r="D177" s="51">
        <v>20</v>
      </c>
      <c r="E177" s="53"/>
      <c r="F177" s="51">
        <f>D177/50</f>
        <v>0.4</v>
      </c>
      <c r="G177" s="53"/>
      <c r="H177" s="53"/>
      <c r="I177" s="51">
        <f>F177*H176</f>
        <v>5.3893345070106263E-2</v>
      </c>
      <c r="L177" s="63"/>
      <c r="M177" s="27" t="s">
        <v>229</v>
      </c>
      <c r="N177" s="51">
        <v>15</v>
      </c>
      <c r="O177" s="55" t="s">
        <v>327</v>
      </c>
      <c r="P177" s="51">
        <f t="shared" ref="P177:P182" si="1">N177/Q177</f>
        <v>1.3501350135013501</v>
      </c>
      <c r="Q177" s="55">
        <v>11.11</v>
      </c>
      <c r="R177" s="56">
        <f>Q177/'MK-CPL'!K82</f>
        <v>7.5096489864339647E-3</v>
      </c>
      <c r="S177" s="51">
        <f t="shared" ref="S177:S182" si="2">P177*R177</f>
        <v>1.0139040035689422E-2</v>
      </c>
    </row>
    <row r="178" spans="2:19" x14ac:dyDescent="0.35">
      <c r="B178" s="63"/>
      <c r="C178" s="27" t="s">
        <v>230</v>
      </c>
      <c r="D178" s="51">
        <v>20</v>
      </c>
      <c r="E178" s="53"/>
      <c r="F178" s="51">
        <f>D178/50</f>
        <v>0.4</v>
      </c>
      <c r="G178" s="53"/>
      <c r="H178" s="53"/>
      <c r="I178" s="51">
        <f>F178*H176</f>
        <v>5.3893345070106263E-2</v>
      </c>
      <c r="L178" s="63"/>
      <c r="M178" s="27" t="s">
        <v>230</v>
      </c>
      <c r="N178" s="51">
        <v>15</v>
      </c>
      <c r="O178" s="55" t="s">
        <v>338</v>
      </c>
      <c r="P178" s="51">
        <f t="shared" si="1"/>
        <v>1.3501350135013501</v>
      </c>
      <c r="Q178" s="55">
        <v>11.11</v>
      </c>
      <c r="R178" s="56">
        <f>Q178/'MK-CPL'!H82</f>
        <v>8.9158173501324156E-3</v>
      </c>
      <c r="S178" s="51">
        <f t="shared" si="2"/>
        <v>1.20375571783966E-2</v>
      </c>
    </row>
    <row r="179" spans="2:19" x14ac:dyDescent="0.35">
      <c r="B179" s="63"/>
      <c r="C179" s="27" t="s">
        <v>231</v>
      </c>
      <c r="D179" s="51">
        <v>20</v>
      </c>
      <c r="E179" s="53"/>
      <c r="F179" s="51">
        <f>D179/50</f>
        <v>0.4</v>
      </c>
      <c r="G179" s="53"/>
      <c r="H179" s="53"/>
      <c r="I179" s="51">
        <f>F179*H176</f>
        <v>5.3893345070106263E-2</v>
      </c>
      <c r="L179" s="63"/>
      <c r="M179" s="27" t="s">
        <v>231</v>
      </c>
      <c r="N179" s="51">
        <v>15</v>
      </c>
      <c r="O179" s="55" t="s">
        <v>301</v>
      </c>
      <c r="P179" s="51">
        <f t="shared" si="1"/>
        <v>1.3501350135013501</v>
      </c>
      <c r="Q179" s="55">
        <v>11.11</v>
      </c>
      <c r="R179" s="56">
        <f>Q179/'MK-CPL'!N82</f>
        <v>1.7419982020780628E-2</v>
      </c>
      <c r="S179" s="51">
        <f t="shared" si="2"/>
        <v>2.351932766081993E-2</v>
      </c>
    </row>
    <row r="180" spans="2:19" x14ac:dyDescent="0.35">
      <c r="B180" s="64"/>
      <c r="C180" s="27" t="s">
        <v>232</v>
      </c>
      <c r="D180" s="51">
        <v>20</v>
      </c>
      <c r="E180" s="54"/>
      <c r="F180" s="51">
        <f>D180/50</f>
        <v>0.4</v>
      </c>
      <c r="G180" s="54"/>
      <c r="H180" s="54"/>
      <c r="I180" s="51">
        <f>F180*H176</f>
        <v>5.3893345070106263E-2</v>
      </c>
      <c r="L180" s="63"/>
      <c r="M180" s="27" t="s">
        <v>232</v>
      </c>
      <c r="N180" s="51">
        <v>15</v>
      </c>
      <c r="O180" s="55" t="s">
        <v>316</v>
      </c>
      <c r="P180" s="51">
        <f t="shared" si="1"/>
        <v>1.3501350135013501</v>
      </c>
      <c r="Q180" s="55">
        <v>11.11</v>
      </c>
      <c r="R180" s="56">
        <f>Q180/'MK-CPL'!L82</f>
        <v>2.9937215380884372E-2</v>
      </c>
      <c r="S180" s="51">
        <f t="shared" si="2"/>
        <v>4.041928269246315E-2</v>
      </c>
    </row>
    <row r="181" spans="2:19" x14ac:dyDescent="0.35">
      <c r="L181" s="63"/>
      <c r="M181" s="27" t="s">
        <v>263</v>
      </c>
      <c r="N181" s="51">
        <v>15</v>
      </c>
      <c r="O181" s="55" t="s">
        <v>299</v>
      </c>
      <c r="P181" s="51">
        <f t="shared" si="1"/>
        <v>1.3501350135013501</v>
      </c>
      <c r="Q181" s="55">
        <v>11.11</v>
      </c>
      <c r="R181" s="56">
        <f>Q181/'MK-CPL'!O82</f>
        <v>2.9937753186444024E-2</v>
      </c>
      <c r="S181" s="51">
        <f t="shared" si="2"/>
        <v>4.0420008802579691E-2</v>
      </c>
    </row>
    <row r="182" spans="2:19" x14ac:dyDescent="0.35">
      <c r="L182" s="64"/>
      <c r="M182" s="27" t="s">
        <v>264</v>
      </c>
      <c r="N182" s="51">
        <v>10</v>
      </c>
      <c r="O182" s="55" t="s">
        <v>300</v>
      </c>
      <c r="P182" s="51">
        <f t="shared" si="1"/>
        <v>0.90009000900090008</v>
      </c>
      <c r="Q182" s="55">
        <v>11.11</v>
      </c>
      <c r="R182" s="56">
        <f>Q182/'MK-CPL'!P82</f>
        <v>3.7874999999999992E-2</v>
      </c>
      <c r="S182" s="51">
        <f t="shared" si="2"/>
        <v>3.4090909090909081E-2</v>
      </c>
    </row>
    <row r="183" spans="2:19" x14ac:dyDescent="0.35">
      <c r="M183" s="65"/>
      <c r="N183" s="66"/>
      <c r="O183" s="67"/>
      <c r="P183" s="66"/>
      <c r="Q183" s="67"/>
      <c r="R183" s="67"/>
      <c r="S183" s="66"/>
    </row>
    <row r="184" spans="2:19" ht="58" x14ac:dyDescent="0.35">
      <c r="B184" s="50" t="s">
        <v>93</v>
      </c>
      <c r="C184" s="50" t="s">
        <v>296</v>
      </c>
      <c r="D184" s="50" t="s">
        <v>297</v>
      </c>
      <c r="E184" s="50" t="s">
        <v>298</v>
      </c>
      <c r="F184" s="50" t="s">
        <v>302</v>
      </c>
      <c r="G184" s="50" t="s">
        <v>303</v>
      </c>
      <c r="H184" s="50" t="s">
        <v>304</v>
      </c>
      <c r="I184" s="50" t="s">
        <v>297</v>
      </c>
      <c r="L184" s="50" t="s">
        <v>93</v>
      </c>
      <c r="M184" s="50" t="s">
        <v>296</v>
      </c>
      <c r="N184" s="50" t="s">
        <v>297</v>
      </c>
      <c r="O184" s="50" t="s">
        <v>298</v>
      </c>
      <c r="P184" s="50" t="s">
        <v>302</v>
      </c>
      <c r="Q184" s="50" t="s">
        <v>303</v>
      </c>
      <c r="R184" s="50" t="s">
        <v>304</v>
      </c>
      <c r="S184" s="50" t="s">
        <v>297</v>
      </c>
    </row>
    <row r="185" spans="2:19" x14ac:dyDescent="0.35">
      <c r="B185" s="62" t="s">
        <v>142</v>
      </c>
      <c r="C185" s="27" t="s">
        <v>228</v>
      </c>
      <c r="D185" s="51">
        <v>20</v>
      </c>
      <c r="E185" s="55" t="s">
        <v>316</v>
      </c>
      <c r="F185" s="51">
        <f>D185/50</f>
        <v>0.4</v>
      </c>
      <c r="G185" s="55">
        <v>50</v>
      </c>
      <c r="H185" s="55">
        <f>G185/'MK-CPL'!L82</f>
        <v>0.13473094230821051</v>
      </c>
      <c r="I185" s="51">
        <f>F185*H185</f>
        <v>5.3892376923284205E-2</v>
      </c>
      <c r="L185" s="62" t="s">
        <v>584</v>
      </c>
      <c r="M185" s="27" t="s">
        <v>228</v>
      </c>
      <c r="N185" s="51">
        <v>15</v>
      </c>
      <c r="O185" s="52" t="s">
        <v>379</v>
      </c>
      <c r="P185" s="51">
        <f>N185/Q185</f>
        <v>0.3</v>
      </c>
      <c r="Q185" s="52">
        <v>50</v>
      </c>
      <c r="R185" s="52">
        <f>Q185/'MK-CPL'!I82</f>
        <v>0.10804503316982519</v>
      </c>
      <c r="S185" s="51">
        <f>P185*R185</f>
        <v>3.2413509950947557E-2</v>
      </c>
    </row>
    <row r="186" spans="2:19" x14ac:dyDescent="0.35">
      <c r="B186" s="63"/>
      <c r="C186" s="27" t="s">
        <v>229</v>
      </c>
      <c r="D186" s="51">
        <v>20</v>
      </c>
      <c r="E186" s="55" t="s">
        <v>379</v>
      </c>
      <c r="F186" s="51">
        <f>D186/50</f>
        <v>0.4</v>
      </c>
      <c r="G186" s="55">
        <v>50</v>
      </c>
      <c r="H186" s="55">
        <f>G186/'MK-CPL'!I82</f>
        <v>0.10804503316982519</v>
      </c>
      <c r="I186" s="51">
        <f>F186*H186</f>
        <v>4.321801326793008E-2</v>
      </c>
      <c r="L186" s="63"/>
      <c r="M186" s="27" t="s">
        <v>229</v>
      </c>
      <c r="N186" s="51">
        <v>15</v>
      </c>
      <c r="O186" s="53"/>
      <c r="P186" s="51">
        <f>N186/Q185</f>
        <v>0.3</v>
      </c>
      <c r="Q186" s="53"/>
      <c r="R186" s="53"/>
      <c r="S186" s="51">
        <f>P186*R185</f>
        <v>3.2413509950947557E-2</v>
      </c>
    </row>
    <row r="187" spans="2:19" x14ac:dyDescent="0.35">
      <c r="B187" s="63"/>
      <c r="C187" s="27" t="s">
        <v>230</v>
      </c>
      <c r="D187" s="51">
        <v>20</v>
      </c>
      <c r="E187" s="52" t="s">
        <v>316</v>
      </c>
      <c r="F187" s="51">
        <f>D187/50</f>
        <v>0.4</v>
      </c>
      <c r="G187" s="52">
        <v>50</v>
      </c>
      <c r="H187" s="52">
        <f>G187/'MK-CPL'!L82</f>
        <v>0.13473094230821051</v>
      </c>
      <c r="I187" s="51">
        <f>F187*H187</f>
        <v>5.3892376923284205E-2</v>
      </c>
      <c r="L187" s="63"/>
      <c r="M187" s="27" t="s">
        <v>230</v>
      </c>
      <c r="N187" s="51">
        <v>20</v>
      </c>
      <c r="O187" s="53"/>
      <c r="P187" s="51">
        <f>N187/Q185</f>
        <v>0.4</v>
      </c>
      <c r="Q187" s="53"/>
      <c r="R187" s="53"/>
      <c r="S187" s="51">
        <f>P187*R185</f>
        <v>4.321801326793008E-2</v>
      </c>
    </row>
    <row r="188" spans="2:19" x14ac:dyDescent="0.35">
      <c r="B188" s="63"/>
      <c r="C188" s="27" t="s">
        <v>231</v>
      </c>
      <c r="D188" s="51">
        <v>20</v>
      </c>
      <c r="E188" s="54"/>
      <c r="F188" s="51">
        <f>D188/50</f>
        <v>0.4</v>
      </c>
      <c r="G188" s="54"/>
      <c r="H188" s="54"/>
      <c r="I188" s="51">
        <f>F188*H187</f>
        <v>5.3892376923284205E-2</v>
      </c>
      <c r="L188" s="63"/>
      <c r="M188" s="27" t="s">
        <v>231</v>
      </c>
      <c r="N188" s="51">
        <v>15</v>
      </c>
      <c r="O188" s="53"/>
      <c r="P188" s="51">
        <f>N188/Q185</f>
        <v>0.3</v>
      </c>
      <c r="Q188" s="53"/>
      <c r="R188" s="53"/>
      <c r="S188" s="51">
        <f>P188*R185</f>
        <v>3.2413509950947557E-2</v>
      </c>
    </row>
    <row r="189" spans="2:19" x14ac:dyDescent="0.35">
      <c r="B189" s="64"/>
      <c r="C189" s="27" t="s">
        <v>232</v>
      </c>
      <c r="D189" s="51">
        <v>20</v>
      </c>
      <c r="E189" s="55" t="s">
        <v>379</v>
      </c>
      <c r="F189" s="51">
        <f>D189/50</f>
        <v>0.4</v>
      </c>
      <c r="G189" s="55">
        <v>50</v>
      </c>
      <c r="H189" s="55">
        <f>G189/'MK-CPL'!I82</f>
        <v>0.10804503316982519</v>
      </c>
      <c r="I189" s="51">
        <f>F189*H189</f>
        <v>4.321801326793008E-2</v>
      </c>
      <c r="L189" s="63"/>
      <c r="M189" s="27" t="s">
        <v>232</v>
      </c>
      <c r="N189" s="51">
        <v>15</v>
      </c>
      <c r="O189" s="54"/>
      <c r="P189" s="51">
        <f>N189/Q185</f>
        <v>0.3</v>
      </c>
      <c r="Q189" s="54"/>
      <c r="R189" s="54"/>
      <c r="S189" s="51">
        <f>P189*R185</f>
        <v>3.2413509950947557E-2</v>
      </c>
    </row>
    <row r="190" spans="2:19" x14ac:dyDescent="0.35">
      <c r="L190" s="64"/>
      <c r="M190" s="27" t="s">
        <v>263</v>
      </c>
      <c r="N190" s="51">
        <v>20</v>
      </c>
      <c r="O190" s="56" t="s">
        <v>316</v>
      </c>
      <c r="P190" s="51">
        <f>N190/Q190</f>
        <v>0.4</v>
      </c>
      <c r="Q190" s="55">
        <v>50</v>
      </c>
      <c r="R190" s="56">
        <f>Q190/'MK-CPL'!L82</f>
        <v>0.13473094230821051</v>
      </c>
      <c r="S190" s="51">
        <f>P190*R190</f>
        <v>5.3892376923284205E-2</v>
      </c>
    </row>
    <row r="192" spans="2:19" ht="58" x14ac:dyDescent="0.35">
      <c r="B192" s="50" t="s">
        <v>93</v>
      </c>
      <c r="C192" s="50" t="s">
        <v>296</v>
      </c>
      <c r="D192" s="50" t="s">
        <v>297</v>
      </c>
      <c r="E192" s="50" t="s">
        <v>298</v>
      </c>
      <c r="F192" s="50" t="s">
        <v>302</v>
      </c>
      <c r="G192" s="50" t="s">
        <v>303</v>
      </c>
      <c r="H192" s="50" t="s">
        <v>304</v>
      </c>
      <c r="I192" s="50" t="s">
        <v>297</v>
      </c>
      <c r="L192" s="50" t="s">
        <v>93</v>
      </c>
      <c r="M192" s="50" t="s">
        <v>296</v>
      </c>
      <c r="N192" s="50" t="s">
        <v>297</v>
      </c>
      <c r="O192" s="50" t="s">
        <v>298</v>
      </c>
      <c r="P192" s="50" t="s">
        <v>302</v>
      </c>
      <c r="Q192" s="50" t="s">
        <v>303</v>
      </c>
      <c r="R192" s="50" t="s">
        <v>304</v>
      </c>
      <c r="S192" s="50" t="s">
        <v>297</v>
      </c>
    </row>
    <row r="193" spans="2:19" x14ac:dyDescent="0.35">
      <c r="B193" s="62" t="s">
        <v>144</v>
      </c>
      <c r="C193" s="27" t="s">
        <v>228</v>
      </c>
      <c r="D193" s="51">
        <v>20</v>
      </c>
      <c r="E193" s="52" t="s">
        <v>314</v>
      </c>
      <c r="F193" s="51">
        <f>D193/50</f>
        <v>0.4</v>
      </c>
      <c r="G193" s="52">
        <v>50</v>
      </c>
      <c r="H193" s="52">
        <f>G193/'MK-CPL'!G82</f>
        <v>7.0148855872160715E-2</v>
      </c>
      <c r="I193" s="51">
        <f>F193*H193</f>
        <v>2.8059542348864288E-2</v>
      </c>
      <c r="L193" s="62" t="s">
        <v>224</v>
      </c>
      <c r="M193" s="27" t="s">
        <v>228</v>
      </c>
      <c r="N193" s="51">
        <v>15</v>
      </c>
      <c r="O193" s="52" t="s">
        <v>315</v>
      </c>
      <c r="P193" s="51">
        <f>N193/Q193</f>
        <v>1.5</v>
      </c>
      <c r="Q193" s="52">
        <v>10</v>
      </c>
      <c r="R193" s="52">
        <f>Q193/'MK-CPL'!J82</f>
        <v>1.7509761692143369E-2</v>
      </c>
      <c r="S193" s="51">
        <f>P193*R193</f>
        <v>2.6264642538215054E-2</v>
      </c>
    </row>
    <row r="194" spans="2:19" x14ac:dyDescent="0.35">
      <c r="B194" s="63"/>
      <c r="C194" s="27" t="s">
        <v>229</v>
      </c>
      <c r="D194" s="51">
        <v>20</v>
      </c>
      <c r="E194" s="53"/>
      <c r="F194" s="51">
        <f>D194/50</f>
        <v>0.4</v>
      </c>
      <c r="G194" s="53"/>
      <c r="H194" s="53"/>
      <c r="I194" s="51">
        <f>F194*H193</f>
        <v>2.8059542348864288E-2</v>
      </c>
      <c r="L194" s="63"/>
      <c r="M194" s="27" t="s">
        <v>229</v>
      </c>
      <c r="N194" s="51">
        <v>15</v>
      </c>
      <c r="O194" s="54"/>
      <c r="P194" s="51">
        <f>N194/Q193</f>
        <v>1.5</v>
      </c>
      <c r="Q194" s="54"/>
      <c r="R194" s="54"/>
      <c r="S194" s="51">
        <f>P194*R193</f>
        <v>2.6264642538215054E-2</v>
      </c>
    </row>
    <row r="195" spans="2:19" x14ac:dyDescent="0.35">
      <c r="B195" s="63"/>
      <c r="C195" s="27" t="s">
        <v>230</v>
      </c>
      <c r="D195" s="51">
        <v>20</v>
      </c>
      <c r="E195" s="53"/>
      <c r="F195" s="51">
        <f>D195/50</f>
        <v>0.4</v>
      </c>
      <c r="G195" s="53"/>
      <c r="H195" s="53"/>
      <c r="I195" s="51">
        <f>F195*H193</f>
        <v>2.8059542348864288E-2</v>
      </c>
      <c r="L195" s="63"/>
      <c r="M195" s="27" t="s">
        <v>230</v>
      </c>
      <c r="N195" s="51">
        <v>15</v>
      </c>
      <c r="O195" s="55" t="s">
        <v>327</v>
      </c>
      <c r="P195" s="51">
        <f t="shared" ref="P194:P199" si="3">N195/Q195</f>
        <v>1.5</v>
      </c>
      <c r="Q195" s="55">
        <v>10</v>
      </c>
      <c r="R195" s="56">
        <f>Q195/'MK-CPL'!K82</f>
        <v>6.7593600237929484E-3</v>
      </c>
      <c r="S195" s="51">
        <f>P195*R195</f>
        <v>1.0139040035689422E-2</v>
      </c>
    </row>
    <row r="196" spans="2:19" x14ac:dyDescent="0.35">
      <c r="B196" s="63"/>
      <c r="C196" s="27" t="s">
        <v>231</v>
      </c>
      <c r="D196" s="51">
        <v>20</v>
      </c>
      <c r="E196" s="54"/>
      <c r="F196" s="51">
        <f>D196/50</f>
        <v>0.4</v>
      </c>
      <c r="G196" s="54"/>
      <c r="H196" s="54"/>
      <c r="I196" s="51">
        <f>F196*H193</f>
        <v>2.8059542348864288E-2</v>
      </c>
      <c r="L196" s="63"/>
      <c r="M196" s="27" t="s">
        <v>231</v>
      </c>
      <c r="N196" s="51">
        <v>15</v>
      </c>
      <c r="O196" s="52" t="s">
        <v>379</v>
      </c>
      <c r="P196" s="51">
        <f t="shared" si="3"/>
        <v>1.5</v>
      </c>
      <c r="Q196" s="52">
        <v>10</v>
      </c>
      <c r="R196" s="52">
        <f>Q196/'MK-CPL'!I82</f>
        <v>2.1609006633965037E-2</v>
      </c>
      <c r="S196" s="51">
        <f>P196*R196</f>
        <v>3.2413509950947557E-2</v>
      </c>
    </row>
    <row r="197" spans="2:19" x14ac:dyDescent="0.35">
      <c r="B197" s="64"/>
      <c r="C197" s="27" t="s">
        <v>232</v>
      </c>
      <c r="D197" s="51">
        <v>20</v>
      </c>
      <c r="E197" s="55" t="s">
        <v>379</v>
      </c>
      <c r="F197" s="51">
        <f>D197/50</f>
        <v>0.4</v>
      </c>
      <c r="G197" s="55">
        <v>50</v>
      </c>
      <c r="H197" s="55">
        <f>G197/'MK-CPL'!I82</f>
        <v>0.10804503316982519</v>
      </c>
      <c r="I197" s="51">
        <f>F197*H197</f>
        <v>4.321801326793008E-2</v>
      </c>
      <c r="L197" s="63"/>
      <c r="M197" s="27" t="s">
        <v>232</v>
      </c>
      <c r="N197" s="51">
        <v>15</v>
      </c>
      <c r="O197" s="54"/>
      <c r="P197" s="51">
        <f>N197/Q196</f>
        <v>1.5</v>
      </c>
      <c r="Q197" s="54"/>
      <c r="R197" s="54"/>
      <c r="S197" s="51">
        <f>P197*R196</f>
        <v>3.2413509950947557E-2</v>
      </c>
    </row>
    <row r="198" spans="2:19" x14ac:dyDescent="0.35">
      <c r="L198" s="63"/>
      <c r="M198" s="27" t="s">
        <v>263</v>
      </c>
      <c r="N198" s="51">
        <v>15</v>
      </c>
      <c r="O198" s="55" t="s">
        <v>316</v>
      </c>
      <c r="P198" s="51">
        <f t="shared" si="3"/>
        <v>1.5</v>
      </c>
      <c r="Q198" s="55">
        <v>10</v>
      </c>
      <c r="R198" s="56">
        <f>Q198/'MK-CPL'!L82</f>
        <v>2.6946188461642099E-2</v>
      </c>
      <c r="S198" s="51">
        <f>P198*R198</f>
        <v>4.041928269246315E-2</v>
      </c>
    </row>
    <row r="199" spans="2:19" x14ac:dyDescent="0.35">
      <c r="L199" s="64"/>
      <c r="M199" s="27" t="s">
        <v>264</v>
      </c>
      <c r="N199" s="51">
        <v>10</v>
      </c>
      <c r="O199" s="55" t="s">
        <v>299</v>
      </c>
      <c r="P199" s="51">
        <f t="shared" si="3"/>
        <v>1</v>
      </c>
      <c r="Q199" s="55">
        <v>10</v>
      </c>
      <c r="R199" s="56">
        <f>Q199/'MK-CPL'!O82</f>
        <v>2.6946672535053128E-2</v>
      </c>
      <c r="S199" s="51">
        <f>P199*R199</f>
        <v>2.6946672535053128E-2</v>
      </c>
    </row>
    <row r="200" spans="2:19" ht="58" x14ac:dyDescent="0.35">
      <c r="B200" s="50" t="s">
        <v>93</v>
      </c>
      <c r="C200" s="50" t="s">
        <v>296</v>
      </c>
      <c r="D200" s="50" t="s">
        <v>297</v>
      </c>
      <c r="E200" s="50" t="s">
        <v>298</v>
      </c>
      <c r="F200" s="50" t="s">
        <v>302</v>
      </c>
      <c r="G200" s="50" t="s">
        <v>303</v>
      </c>
      <c r="H200" s="50" t="s">
        <v>304</v>
      </c>
      <c r="I200" s="50" t="s">
        <v>297</v>
      </c>
    </row>
    <row r="201" spans="2:19" x14ac:dyDescent="0.35">
      <c r="B201" s="62" t="s">
        <v>146</v>
      </c>
      <c r="C201" s="27" t="s">
        <v>228</v>
      </c>
      <c r="D201" s="51">
        <v>20</v>
      </c>
      <c r="E201" s="49" t="s">
        <v>338</v>
      </c>
      <c r="F201" s="51">
        <f>D201/50</f>
        <v>0.4</v>
      </c>
      <c r="G201" s="49">
        <v>50</v>
      </c>
      <c r="H201" s="49">
        <f>G201/'MK-CPL'!H82</f>
        <v>4.0125190594655337E-2</v>
      </c>
      <c r="I201" s="51">
        <f>F201*H201</f>
        <v>1.6050076237862136E-2</v>
      </c>
    </row>
    <row r="202" spans="2:19" x14ac:dyDescent="0.35">
      <c r="B202" s="63"/>
      <c r="C202" s="27" t="s">
        <v>229</v>
      </c>
      <c r="D202" s="51">
        <v>20</v>
      </c>
      <c r="E202" s="49"/>
      <c r="F202" s="51">
        <f>D202/50</f>
        <v>0.4</v>
      </c>
      <c r="G202" s="49"/>
      <c r="H202" s="49"/>
      <c r="I202" s="51">
        <f>F202*H201</f>
        <v>1.6050076237862136E-2</v>
      </c>
    </row>
    <row r="203" spans="2:19" x14ac:dyDescent="0.35">
      <c r="B203" s="63"/>
      <c r="C203" s="27" t="s">
        <v>230</v>
      </c>
      <c r="D203" s="51">
        <v>20</v>
      </c>
      <c r="E203" s="49"/>
      <c r="F203" s="51">
        <f>D203/50</f>
        <v>0.4</v>
      </c>
      <c r="G203" s="49"/>
      <c r="H203" s="49"/>
      <c r="I203" s="51">
        <f>F203*H201</f>
        <v>1.6050076237862136E-2</v>
      </c>
    </row>
    <row r="204" spans="2:19" x14ac:dyDescent="0.35">
      <c r="B204" s="63"/>
      <c r="C204" s="27" t="s">
        <v>231</v>
      </c>
      <c r="D204" s="51">
        <v>20</v>
      </c>
      <c r="E204" s="49" t="s">
        <v>379</v>
      </c>
      <c r="F204" s="51">
        <f>D204/50</f>
        <v>0.4</v>
      </c>
      <c r="G204" s="49">
        <v>50</v>
      </c>
      <c r="H204" s="49">
        <f>G204/'MK-CPL'!I82</f>
        <v>0.10804503316982519</v>
      </c>
      <c r="I204" s="51">
        <f>F204*H204</f>
        <v>4.321801326793008E-2</v>
      </c>
    </row>
    <row r="205" spans="2:19" x14ac:dyDescent="0.35">
      <c r="B205" s="64"/>
      <c r="C205" s="27" t="s">
        <v>232</v>
      </c>
      <c r="D205" s="51">
        <v>20</v>
      </c>
      <c r="E205" s="49"/>
      <c r="F205" s="51">
        <f>D205/50</f>
        <v>0.4</v>
      </c>
      <c r="G205" s="49"/>
      <c r="H205" s="49"/>
      <c r="I205" s="51">
        <f>F205*H204</f>
        <v>4.321801326793008E-2</v>
      </c>
    </row>
    <row r="208" spans="2:19" ht="58" x14ac:dyDescent="0.35">
      <c r="B208" s="50" t="s">
        <v>93</v>
      </c>
      <c r="C208" s="50" t="s">
        <v>296</v>
      </c>
      <c r="D208" s="50" t="s">
        <v>297</v>
      </c>
      <c r="E208" s="50" t="s">
        <v>298</v>
      </c>
      <c r="F208" s="50" t="s">
        <v>302</v>
      </c>
      <c r="G208" s="50" t="s">
        <v>303</v>
      </c>
      <c r="H208" s="50" t="s">
        <v>304</v>
      </c>
      <c r="I208" s="50" t="s">
        <v>297</v>
      </c>
    </row>
    <row r="209" spans="2:9" x14ac:dyDescent="0.35">
      <c r="B209" s="62" t="s">
        <v>148</v>
      </c>
      <c r="C209" s="27" t="s">
        <v>228</v>
      </c>
      <c r="D209" s="51">
        <v>20</v>
      </c>
      <c r="E209" s="49" t="s">
        <v>338</v>
      </c>
      <c r="F209" s="51">
        <f>D209/50</f>
        <v>0.4</v>
      </c>
      <c r="G209" s="49">
        <v>50</v>
      </c>
      <c r="H209" s="49">
        <f>G209/'MK-CPL'!H82</f>
        <v>4.0125190594655337E-2</v>
      </c>
      <c r="I209" s="51">
        <f>F209*H209</f>
        <v>1.6050076237862136E-2</v>
      </c>
    </row>
    <row r="210" spans="2:9" x14ac:dyDescent="0.35">
      <c r="B210" s="63"/>
      <c r="C210" s="27" t="s">
        <v>229</v>
      </c>
      <c r="D210" s="51">
        <v>20</v>
      </c>
      <c r="E210" s="49"/>
      <c r="F210" s="51">
        <f>D210/50</f>
        <v>0.4</v>
      </c>
      <c r="G210" s="49"/>
      <c r="H210" s="49"/>
      <c r="I210" s="51">
        <f>F210*H209</f>
        <v>1.6050076237862136E-2</v>
      </c>
    </row>
    <row r="211" spans="2:9" x14ac:dyDescent="0.35">
      <c r="B211" s="63"/>
      <c r="C211" s="27" t="s">
        <v>230</v>
      </c>
      <c r="D211" s="51">
        <v>20</v>
      </c>
      <c r="E211" s="49"/>
      <c r="F211" s="51">
        <f>D211/50</f>
        <v>0.4</v>
      </c>
      <c r="G211" s="49"/>
      <c r="H211" s="49"/>
      <c r="I211" s="51">
        <f>F211*H209</f>
        <v>1.6050076237862136E-2</v>
      </c>
    </row>
    <row r="212" spans="2:9" x14ac:dyDescent="0.35">
      <c r="B212" s="63"/>
      <c r="C212" s="27" t="s">
        <v>231</v>
      </c>
      <c r="D212" s="51">
        <v>20</v>
      </c>
      <c r="E212" s="49" t="s">
        <v>327</v>
      </c>
      <c r="F212" s="51">
        <f>D212/50</f>
        <v>0.4</v>
      </c>
      <c r="G212" s="49">
        <v>50</v>
      </c>
      <c r="H212" s="49">
        <f>G212/'MK-CPL'!K82</f>
        <v>3.3796800118964743E-2</v>
      </c>
      <c r="I212" s="51">
        <f>F212*H212</f>
        <v>1.3518720047585898E-2</v>
      </c>
    </row>
    <row r="213" spans="2:9" x14ac:dyDescent="0.35">
      <c r="B213" s="64"/>
      <c r="C213" s="27" t="s">
        <v>232</v>
      </c>
      <c r="D213" s="51">
        <v>20</v>
      </c>
      <c r="E213" s="49"/>
      <c r="F213" s="51">
        <f>D213/50</f>
        <v>0.4</v>
      </c>
      <c r="G213" s="49"/>
      <c r="H213" s="49"/>
      <c r="I213" s="51">
        <f>F213*H212</f>
        <v>1.3518720047585898E-2</v>
      </c>
    </row>
    <row r="216" spans="2:9" ht="58" x14ac:dyDescent="0.35">
      <c r="B216" s="50" t="s">
        <v>93</v>
      </c>
      <c r="C216" s="50" t="s">
        <v>296</v>
      </c>
      <c r="D216" s="50" t="s">
        <v>297</v>
      </c>
      <c r="E216" s="50" t="s">
        <v>298</v>
      </c>
      <c r="F216" s="50" t="s">
        <v>302</v>
      </c>
      <c r="G216" s="50" t="s">
        <v>303</v>
      </c>
      <c r="H216" s="50" t="s">
        <v>304</v>
      </c>
      <c r="I216" s="50" t="s">
        <v>297</v>
      </c>
    </row>
    <row r="217" spans="2:9" x14ac:dyDescent="0.35">
      <c r="B217" s="62" t="s">
        <v>150</v>
      </c>
      <c r="C217" s="27" t="s">
        <v>228</v>
      </c>
      <c r="D217" s="51">
        <v>20</v>
      </c>
      <c r="E217" s="52" t="s">
        <v>327</v>
      </c>
      <c r="F217" s="51">
        <f>D217/50</f>
        <v>0.4</v>
      </c>
      <c r="G217" s="52">
        <v>50</v>
      </c>
      <c r="H217" s="52">
        <f>G217/'MK-CPL'!K82</f>
        <v>3.3796800118964743E-2</v>
      </c>
      <c r="I217" s="51">
        <f>F217*H217</f>
        <v>1.3518720047585898E-2</v>
      </c>
    </row>
    <row r="218" spans="2:9" x14ac:dyDescent="0.35">
      <c r="B218" s="63"/>
      <c r="C218" s="27" t="s">
        <v>229</v>
      </c>
      <c r="D218" s="51">
        <v>20</v>
      </c>
      <c r="E218" s="54"/>
      <c r="F218" s="51">
        <f>D218/50</f>
        <v>0.4</v>
      </c>
      <c r="G218" s="54"/>
      <c r="H218" s="54"/>
      <c r="I218" s="51">
        <f>F218*H217</f>
        <v>1.3518720047585898E-2</v>
      </c>
    </row>
    <row r="219" spans="2:9" x14ac:dyDescent="0.35">
      <c r="B219" s="63"/>
      <c r="C219" s="27" t="s">
        <v>230</v>
      </c>
      <c r="D219" s="51">
        <v>20</v>
      </c>
      <c r="E219" s="52" t="s">
        <v>299</v>
      </c>
      <c r="F219" s="51">
        <f>D219/50</f>
        <v>0.4</v>
      </c>
      <c r="G219" s="52">
        <v>50</v>
      </c>
      <c r="H219" s="52">
        <f>G219/'MK-CPL'!O82</f>
        <v>0.13473336267526564</v>
      </c>
      <c r="I219" s="51">
        <f>F219*H219</f>
        <v>5.3893345070106263E-2</v>
      </c>
    </row>
    <row r="220" spans="2:9" x14ac:dyDescent="0.35">
      <c r="B220" s="63"/>
      <c r="C220" s="27" t="s">
        <v>231</v>
      </c>
      <c r="D220" s="51">
        <v>20</v>
      </c>
      <c r="E220" s="53"/>
      <c r="F220" s="51">
        <f>D220/50</f>
        <v>0.4</v>
      </c>
      <c r="G220" s="53"/>
      <c r="H220" s="53"/>
      <c r="I220" s="51">
        <f>F220*H219</f>
        <v>5.3893345070106263E-2</v>
      </c>
    </row>
    <row r="221" spans="2:9" x14ac:dyDescent="0.35">
      <c r="B221" s="64"/>
      <c r="C221" s="27" t="s">
        <v>232</v>
      </c>
      <c r="D221" s="51">
        <v>20</v>
      </c>
      <c r="E221" s="54"/>
      <c r="F221" s="51">
        <f>D221/50</f>
        <v>0.4</v>
      </c>
      <c r="G221" s="54"/>
      <c r="H221" s="54"/>
      <c r="I221" s="51">
        <f>F221*H219</f>
        <v>5.3893345070106263E-2</v>
      </c>
    </row>
    <row r="224" spans="2:9" x14ac:dyDescent="0.35">
      <c r="B224" s="57" t="s">
        <v>152</v>
      </c>
    </row>
    <row r="226" spans="2:9" ht="58" x14ac:dyDescent="0.35">
      <c r="B226" s="50" t="s">
        <v>93</v>
      </c>
      <c r="C226" s="50" t="s">
        <v>296</v>
      </c>
      <c r="D226" s="50" t="s">
        <v>297</v>
      </c>
      <c r="E226" s="50" t="s">
        <v>298</v>
      </c>
      <c r="F226" s="50" t="s">
        <v>302</v>
      </c>
      <c r="G226" s="50" t="s">
        <v>303</v>
      </c>
      <c r="H226" s="50" t="s">
        <v>304</v>
      </c>
      <c r="I226" s="50" t="s">
        <v>297</v>
      </c>
    </row>
    <row r="227" spans="2:9" x14ac:dyDescent="0.35">
      <c r="B227" s="62" t="s">
        <v>153</v>
      </c>
      <c r="C227" s="27" t="s">
        <v>228</v>
      </c>
      <c r="D227" s="51">
        <v>25</v>
      </c>
      <c r="E227" s="52" t="s">
        <v>300</v>
      </c>
      <c r="F227" s="51">
        <f>25/G227</f>
        <v>0.5</v>
      </c>
      <c r="G227" s="52">
        <v>50</v>
      </c>
      <c r="H227" s="52">
        <f>G227/'MK-CPL'!P82</f>
        <v>0.17045454545454544</v>
      </c>
      <c r="I227" s="51">
        <f>F227*H227</f>
        <v>8.5227272727272721E-2</v>
      </c>
    </row>
    <row r="228" spans="2:9" x14ac:dyDescent="0.35">
      <c r="B228" s="63"/>
      <c r="C228" s="27" t="s">
        <v>229</v>
      </c>
      <c r="D228" s="51">
        <v>25</v>
      </c>
      <c r="E228" s="53"/>
      <c r="F228" s="51">
        <f>D228/G227</f>
        <v>0.5</v>
      </c>
      <c r="G228" s="53"/>
      <c r="H228" s="53"/>
      <c r="I228" s="51">
        <f>F228*H227</f>
        <v>8.5227272727272721E-2</v>
      </c>
    </row>
    <row r="229" spans="2:9" x14ac:dyDescent="0.35">
      <c r="B229" s="63"/>
      <c r="C229" s="27" t="s">
        <v>230</v>
      </c>
      <c r="D229" s="51">
        <v>25</v>
      </c>
      <c r="E229" s="54"/>
      <c r="F229" s="51">
        <f>D229/G227</f>
        <v>0.5</v>
      </c>
      <c r="G229" s="54"/>
      <c r="H229" s="54"/>
      <c r="I229" s="51">
        <f>F229*H227</f>
        <v>8.5227272727272721E-2</v>
      </c>
    </row>
    <row r="230" spans="2:9" x14ac:dyDescent="0.35">
      <c r="B230" s="64"/>
      <c r="C230" s="27" t="s">
        <v>231</v>
      </c>
      <c r="D230" s="51">
        <v>25</v>
      </c>
      <c r="E230" s="51" t="s">
        <v>301</v>
      </c>
      <c r="F230" s="51">
        <f>D230/G230</f>
        <v>0.5</v>
      </c>
      <c r="G230" s="51">
        <v>50</v>
      </c>
      <c r="H230" s="51">
        <f>G230/'MK-CPL'!N82</f>
        <v>7.8397758869399772E-2</v>
      </c>
      <c r="I230" s="51">
        <f>F230*H230</f>
        <v>3.9198879434699886E-2</v>
      </c>
    </row>
    <row r="233" spans="2:9" ht="58" x14ac:dyDescent="0.35">
      <c r="B233" s="50" t="s">
        <v>93</v>
      </c>
      <c r="C233" s="50" t="s">
        <v>296</v>
      </c>
      <c r="D233" s="50" t="s">
        <v>297</v>
      </c>
      <c r="E233" s="50" t="s">
        <v>298</v>
      </c>
      <c r="F233" s="50" t="s">
        <v>302</v>
      </c>
      <c r="G233" s="50" t="s">
        <v>303</v>
      </c>
      <c r="H233" s="50" t="s">
        <v>304</v>
      </c>
      <c r="I233" s="50" t="s">
        <v>297</v>
      </c>
    </row>
    <row r="234" spans="2:9" x14ac:dyDescent="0.35">
      <c r="B234" s="52" t="s">
        <v>155</v>
      </c>
      <c r="C234" s="27" t="s">
        <v>228</v>
      </c>
      <c r="D234" s="51">
        <v>20</v>
      </c>
      <c r="E234" s="52" t="s">
        <v>314</v>
      </c>
      <c r="F234" s="51">
        <f>D234/50</f>
        <v>0.4</v>
      </c>
      <c r="G234" s="52">
        <v>50</v>
      </c>
      <c r="H234" s="52">
        <f>G234/'MK-CPL'!G82</f>
        <v>7.0148855872160715E-2</v>
      </c>
      <c r="I234" s="51">
        <f>F234*H234</f>
        <v>2.8059542348864288E-2</v>
      </c>
    </row>
    <row r="235" spans="2:9" x14ac:dyDescent="0.35">
      <c r="B235" s="53"/>
      <c r="C235" s="27" t="s">
        <v>229</v>
      </c>
      <c r="D235" s="51">
        <v>20</v>
      </c>
      <c r="E235" s="54"/>
      <c r="F235" s="51">
        <f>D235/50</f>
        <v>0.4</v>
      </c>
      <c r="G235" s="54"/>
      <c r="H235" s="54"/>
      <c r="I235" s="51">
        <f>F235*H234</f>
        <v>2.8059542348864288E-2</v>
      </c>
    </row>
    <row r="236" spans="2:9" x14ac:dyDescent="0.35">
      <c r="B236" s="53"/>
      <c r="C236" s="27" t="s">
        <v>230</v>
      </c>
      <c r="D236" s="51">
        <v>20</v>
      </c>
      <c r="E236" s="52" t="s">
        <v>315</v>
      </c>
      <c r="F236" s="51">
        <f>D236/50</f>
        <v>0.4</v>
      </c>
      <c r="G236" s="52">
        <v>50</v>
      </c>
      <c r="H236" s="52">
        <f>G236/'MK-CPL'!J82</f>
        <v>8.7548808460716845E-2</v>
      </c>
      <c r="I236" s="51">
        <f>F236*H236</f>
        <v>3.5019523384286738E-2</v>
      </c>
    </row>
    <row r="237" spans="2:9" x14ac:dyDescent="0.35">
      <c r="B237" s="53"/>
      <c r="C237" s="27" t="s">
        <v>231</v>
      </c>
      <c r="D237" s="51">
        <v>20</v>
      </c>
      <c r="E237" s="53"/>
      <c r="F237" s="51">
        <f>D237/50</f>
        <v>0.4</v>
      </c>
      <c r="G237" s="53"/>
      <c r="H237" s="53"/>
      <c r="I237" s="51">
        <f>F237*H236</f>
        <v>3.5019523384286738E-2</v>
      </c>
    </row>
    <row r="238" spans="2:9" x14ac:dyDescent="0.35">
      <c r="B238" s="54"/>
      <c r="C238" s="27" t="s">
        <v>232</v>
      </c>
      <c r="D238" s="51">
        <v>20</v>
      </c>
      <c r="E238" s="54"/>
      <c r="F238" s="51">
        <f>D238/50</f>
        <v>0.4</v>
      </c>
      <c r="G238" s="54"/>
      <c r="H238" s="54"/>
      <c r="I238" s="51">
        <f>F238*H236</f>
        <v>3.5019523384286738E-2</v>
      </c>
    </row>
    <row r="241" spans="2:9" ht="58" x14ac:dyDescent="0.35">
      <c r="B241" s="50" t="s">
        <v>93</v>
      </c>
      <c r="C241" s="50" t="s">
        <v>296</v>
      </c>
      <c r="D241" s="50" t="s">
        <v>297</v>
      </c>
      <c r="E241" s="50" t="s">
        <v>298</v>
      </c>
      <c r="F241" s="50" t="s">
        <v>302</v>
      </c>
      <c r="G241" s="50" t="s">
        <v>303</v>
      </c>
      <c r="H241" s="50" t="s">
        <v>304</v>
      </c>
      <c r="I241" s="50" t="s">
        <v>297</v>
      </c>
    </row>
    <row r="242" spans="2:9" x14ac:dyDescent="0.35">
      <c r="B242" s="52" t="s">
        <v>157</v>
      </c>
      <c r="C242" s="27" t="s">
        <v>228</v>
      </c>
      <c r="D242" s="51">
        <v>20</v>
      </c>
      <c r="E242" s="55" t="s">
        <v>314</v>
      </c>
      <c r="F242" s="51">
        <f>D242/G242</f>
        <v>0.60006000600060005</v>
      </c>
      <c r="G242" s="55">
        <v>33.33</v>
      </c>
      <c r="H242" s="55">
        <f>G242/'MK-CPL'!G82</f>
        <v>4.6761227324382329E-2</v>
      </c>
      <c r="I242" s="51">
        <f>F242*H242</f>
        <v>2.8059542348864285E-2</v>
      </c>
    </row>
    <row r="243" spans="2:9" x14ac:dyDescent="0.35">
      <c r="B243" s="53"/>
      <c r="C243" s="27" t="s">
        <v>229</v>
      </c>
      <c r="D243" s="51">
        <v>20</v>
      </c>
      <c r="E243" s="49" t="s">
        <v>327</v>
      </c>
      <c r="F243" s="51">
        <f>D243/G243</f>
        <v>0.60006000600060005</v>
      </c>
      <c r="G243" s="49">
        <v>33.33</v>
      </c>
      <c r="H243" s="49">
        <f>G243/'MK-CPL'!K82</f>
        <v>2.2528946959301896E-2</v>
      </c>
      <c r="I243" s="51">
        <f>F243*H243</f>
        <v>1.3518720047585897E-2</v>
      </c>
    </row>
    <row r="244" spans="2:9" x14ac:dyDescent="0.35">
      <c r="B244" s="53"/>
      <c r="C244" s="27" t="s">
        <v>230</v>
      </c>
      <c r="D244" s="51">
        <v>20</v>
      </c>
      <c r="E244" s="49"/>
      <c r="F244" s="51">
        <f>D244/G243</f>
        <v>0.60006000600060005</v>
      </c>
      <c r="G244" s="49"/>
      <c r="H244" s="49"/>
      <c r="I244" s="51">
        <f>F244*H243</f>
        <v>1.3518720047585897E-2</v>
      </c>
    </row>
    <row r="245" spans="2:9" x14ac:dyDescent="0.35">
      <c r="B245" s="53"/>
      <c r="C245" s="27" t="s">
        <v>231</v>
      </c>
      <c r="D245" s="51">
        <v>20</v>
      </c>
      <c r="E245" s="49" t="s">
        <v>379</v>
      </c>
      <c r="F245" s="51">
        <f>D245/G245</f>
        <v>0.60006000600060005</v>
      </c>
      <c r="G245" s="49">
        <v>33.33</v>
      </c>
      <c r="H245" s="49">
        <f>G245/'MK-CPL'!I82</f>
        <v>7.2022819111005471E-2</v>
      </c>
      <c r="I245" s="51">
        <f>F245*H245</f>
        <v>4.3218013267930074E-2</v>
      </c>
    </row>
    <row r="246" spans="2:9" x14ac:dyDescent="0.35">
      <c r="B246" s="54"/>
      <c r="C246" s="27" t="s">
        <v>232</v>
      </c>
      <c r="D246" s="51">
        <v>20</v>
      </c>
      <c r="E246" s="49"/>
      <c r="F246" s="51">
        <f>D246/G245</f>
        <v>0.60006000600060005</v>
      </c>
      <c r="G246" s="49"/>
      <c r="H246" s="49"/>
      <c r="I246" s="51">
        <f>F246*H245</f>
        <v>4.3218013267930074E-2</v>
      </c>
    </row>
    <row r="249" spans="2:9" ht="58" x14ac:dyDescent="0.35">
      <c r="B249" s="50" t="s">
        <v>93</v>
      </c>
      <c r="C249" s="50" t="s">
        <v>296</v>
      </c>
      <c r="D249" s="50" t="s">
        <v>297</v>
      </c>
      <c r="E249" s="50" t="s">
        <v>298</v>
      </c>
      <c r="F249" s="50" t="s">
        <v>302</v>
      </c>
      <c r="G249" s="50" t="s">
        <v>303</v>
      </c>
      <c r="H249" s="50" t="s">
        <v>304</v>
      </c>
      <c r="I249" s="50" t="s">
        <v>297</v>
      </c>
    </row>
    <row r="250" spans="2:9" x14ac:dyDescent="0.35">
      <c r="B250" s="52" t="s">
        <v>159</v>
      </c>
      <c r="C250" s="27" t="s">
        <v>228</v>
      </c>
      <c r="D250" s="51">
        <v>20</v>
      </c>
      <c r="E250" s="52" t="s">
        <v>338</v>
      </c>
      <c r="F250" s="51">
        <f>D250/G250</f>
        <v>0.4</v>
      </c>
      <c r="G250" s="52">
        <v>50</v>
      </c>
      <c r="H250" s="52">
        <f>G250/'MK-CPL'!H82</f>
        <v>4.0125190594655337E-2</v>
      </c>
      <c r="I250" s="51">
        <f>F250*H250</f>
        <v>1.6050076237862136E-2</v>
      </c>
    </row>
    <row r="251" spans="2:9" x14ac:dyDescent="0.35">
      <c r="B251" s="53"/>
      <c r="C251" s="27" t="s">
        <v>229</v>
      </c>
      <c r="D251" s="51">
        <v>20</v>
      </c>
      <c r="E251" s="53"/>
      <c r="F251" s="51">
        <f>D251/G250</f>
        <v>0.4</v>
      </c>
      <c r="G251" s="53"/>
      <c r="H251" s="53"/>
      <c r="I251" s="51">
        <f>F251*H250</f>
        <v>1.6050076237862136E-2</v>
      </c>
    </row>
    <row r="252" spans="2:9" x14ac:dyDescent="0.35">
      <c r="B252" s="53"/>
      <c r="C252" s="27" t="s">
        <v>230</v>
      </c>
      <c r="D252" s="51">
        <v>20</v>
      </c>
      <c r="E252" s="53"/>
      <c r="F252" s="51">
        <f>D252/G250</f>
        <v>0.4</v>
      </c>
      <c r="G252" s="53"/>
      <c r="H252" s="53"/>
      <c r="I252" s="51">
        <f>F252*H250</f>
        <v>1.6050076237862136E-2</v>
      </c>
    </row>
    <row r="253" spans="2:9" x14ac:dyDescent="0.35">
      <c r="B253" s="53"/>
      <c r="C253" s="27" t="s">
        <v>231</v>
      </c>
      <c r="D253" s="51">
        <v>20</v>
      </c>
      <c r="E253" s="54"/>
      <c r="F253" s="51">
        <f>D253/G250</f>
        <v>0.4</v>
      </c>
      <c r="G253" s="54"/>
      <c r="H253" s="54"/>
      <c r="I253" s="51">
        <f>F253*H250</f>
        <v>1.6050076237862136E-2</v>
      </c>
    </row>
    <row r="254" spans="2:9" x14ac:dyDescent="0.35">
      <c r="B254" s="54"/>
      <c r="C254" s="27" t="s">
        <v>232</v>
      </c>
      <c r="D254" s="51">
        <v>20</v>
      </c>
      <c r="E254" s="55" t="s">
        <v>301</v>
      </c>
      <c r="F254" s="51">
        <f>D254/G254</f>
        <v>0.4</v>
      </c>
      <c r="G254" s="55">
        <v>50</v>
      </c>
      <c r="H254" s="55">
        <f>G254/'MK-CPL'!N82</f>
        <v>7.8397758869399772E-2</v>
      </c>
      <c r="I254" s="51">
        <f>F254*H254</f>
        <v>3.1359103547759913E-2</v>
      </c>
    </row>
    <row r="257" spans="2:9" ht="58" x14ac:dyDescent="0.35">
      <c r="B257" s="50" t="s">
        <v>93</v>
      </c>
      <c r="C257" s="50" t="s">
        <v>296</v>
      </c>
      <c r="D257" s="50" t="s">
        <v>297</v>
      </c>
      <c r="E257" s="50" t="s">
        <v>298</v>
      </c>
      <c r="F257" s="50" t="s">
        <v>302</v>
      </c>
      <c r="G257" s="50" t="s">
        <v>303</v>
      </c>
      <c r="H257" s="50" t="s">
        <v>304</v>
      </c>
      <c r="I257" s="50" t="s">
        <v>297</v>
      </c>
    </row>
    <row r="258" spans="2:9" x14ac:dyDescent="0.35">
      <c r="B258" s="52" t="s">
        <v>161</v>
      </c>
      <c r="C258" s="27" t="s">
        <v>228</v>
      </c>
      <c r="D258" s="51">
        <v>20</v>
      </c>
      <c r="E258" s="49" t="s">
        <v>327</v>
      </c>
      <c r="F258" s="51">
        <f>D258/G258</f>
        <v>0.4</v>
      </c>
      <c r="G258" s="49">
        <v>50</v>
      </c>
      <c r="H258" s="49">
        <f>G258/'MK-CPL'!K82</f>
        <v>3.3796800118964743E-2</v>
      </c>
      <c r="I258" s="51">
        <f>F258*H258</f>
        <v>1.3518720047585898E-2</v>
      </c>
    </row>
    <row r="259" spans="2:9" x14ac:dyDescent="0.35">
      <c r="B259" s="53"/>
      <c r="C259" s="27" t="s">
        <v>229</v>
      </c>
      <c r="D259" s="51">
        <v>20</v>
      </c>
      <c r="E259" s="49"/>
      <c r="F259" s="51">
        <f>D259/G258</f>
        <v>0.4</v>
      </c>
      <c r="G259" s="49"/>
      <c r="H259" s="49"/>
      <c r="I259" s="51">
        <f>F259*H258</f>
        <v>1.3518720047585898E-2</v>
      </c>
    </row>
    <row r="260" spans="2:9" x14ac:dyDescent="0.35">
      <c r="B260" s="53"/>
      <c r="C260" s="27" t="s">
        <v>230</v>
      </c>
      <c r="D260" s="51">
        <v>20</v>
      </c>
      <c r="E260" s="49"/>
      <c r="F260" s="51">
        <f>D260/G258</f>
        <v>0.4</v>
      </c>
      <c r="G260" s="49"/>
      <c r="H260" s="49"/>
      <c r="I260" s="51">
        <f>F260*H258</f>
        <v>1.3518720047585898E-2</v>
      </c>
    </row>
    <row r="261" spans="2:9" x14ac:dyDescent="0.35">
      <c r="B261" s="53"/>
      <c r="C261" s="27" t="s">
        <v>231</v>
      </c>
      <c r="D261" s="51">
        <v>20</v>
      </c>
      <c r="E261" s="49" t="s">
        <v>299</v>
      </c>
      <c r="F261" s="51">
        <f>D261/G258</f>
        <v>0.4</v>
      </c>
      <c r="G261" s="49">
        <v>50</v>
      </c>
      <c r="H261" s="49">
        <f>G261/'MK-CPL'!O82</f>
        <v>0.13473336267526564</v>
      </c>
      <c r="I261" s="51">
        <f>F261*H261</f>
        <v>5.3893345070106263E-2</v>
      </c>
    </row>
    <row r="262" spans="2:9" x14ac:dyDescent="0.35">
      <c r="B262" s="54"/>
      <c r="C262" s="27" t="s">
        <v>232</v>
      </c>
      <c r="D262" s="51">
        <v>20</v>
      </c>
      <c r="E262" s="49"/>
      <c r="F262" s="51">
        <f>D262/G261</f>
        <v>0.4</v>
      </c>
      <c r="G262" s="49"/>
      <c r="H262" s="49"/>
      <c r="I262" s="51">
        <f>F262*H261</f>
        <v>5.3893345070106263E-2</v>
      </c>
    </row>
    <row r="265" spans="2:9" ht="58" x14ac:dyDescent="0.35">
      <c r="B265" s="50" t="s">
        <v>93</v>
      </c>
      <c r="C265" s="50" t="s">
        <v>296</v>
      </c>
      <c r="D265" s="50" t="s">
        <v>297</v>
      </c>
      <c r="E265" s="50" t="s">
        <v>298</v>
      </c>
      <c r="F265" s="50" t="s">
        <v>302</v>
      </c>
      <c r="G265" s="50" t="s">
        <v>303</v>
      </c>
      <c r="H265" s="50" t="s">
        <v>304</v>
      </c>
      <c r="I265" s="50" t="s">
        <v>297</v>
      </c>
    </row>
    <row r="266" spans="2:9" x14ac:dyDescent="0.35">
      <c r="B266" s="52" t="s">
        <v>163</v>
      </c>
      <c r="C266" s="27" t="s">
        <v>228</v>
      </c>
      <c r="D266" s="51">
        <v>20</v>
      </c>
      <c r="E266" s="52" t="s">
        <v>314</v>
      </c>
      <c r="F266" s="51">
        <f>D266/G266</f>
        <v>0.4</v>
      </c>
      <c r="G266" s="52">
        <v>50</v>
      </c>
      <c r="H266" s="52">
        <f>G266/'MK-CPL'!G82</f>
        <v>7.0148855872160715E-2</v>
      </c>
      <c r="I266" s="51">
        <f>F266*H266</f>
        <v>2.8059542348864288E-2</v>
      </c>
    </row>
    <row r="267" spans="2:9" x14ac:dyDescent="0.35">
      <c r="B267" s="53"/>
      <c r="C267" s="27" t="s">
        <v>229</v>
      </c>
      <c r="D267" s="51">
        <v>20</v>
      </c>
      <c r="E267" s="53"/>
      <c r="F267" s="51">
        <f>D267/G266</f>
        <v>0.4</v>
      </c>
      <c r="G267" s="53"/>
      <c r="H267" s="53"/>
      <c r="I267" s="51">
        <f>F267*H266</f>
        <v>2.8059542348864288E-2</v>
      </c>
    </row>
    <row r="268" spans="2:9" x14ac:dyDescent="0.35">
      <c r="B268" s="53"/>
      <c r="C268" s="27" t="s">
        <v>230</v>
      </c>
      <c r="D268" s="51">
        <v>20</v>
      </c>
      <c r="E268" s="54"/>
      <c r="F268" s="51">
        <f>D268/G266</f>
        <v>0.4</v>
      </c>
      <c r="G268" s="54"/>
      <c r="H268" s="54"/>
      <c r="I268" s="51">
        <f>F268*H266</f>
        <v>2.8059542348864288E-2</v>
      </c>
    </row>
    <row r="269" spans="2:9" x14ac:dyDescent="0.35">
      <c r="B269" s="53"/>
      <c r="C269" s="27" t="s">
        <v>231</v>
      </c>
      <c r="D269" s="51">
        <v>20</v>
      </c>
      <c r="E269" s="52" t="s">
        <v>327</v>
      </c>
      <c r="F269" s="51">
        <f>D269/G266</f>
        <v>0.4</v>
      </c>
      <c r="G269" s="52">
        <v>50</v>
      </c>
      <c r="H269" s="52">
        <f>G269/'MK-CPL'!K82</f>
        <v>3.3796800118964743E-2</v>
      </c>
      <c r="I269" s="51">
        <f>F269*H269</f>
        <v>1.3518720047585898E-2</v>
      </c>
    </row>
    <row r="270" spans="2:9" x14ac:dyDescent="0.35">
      <c r="B270" s="54"/>
      <c r="C270" s="27" t="s">
        <v>232</v>
      </c>
      <c r="D270" s="51">
        <v>20</v>
      </c>
      <c r="E270" s="54"/>
      <c r="F270" s="51">
        <f>D270/G269</f>
        <v>0.4</v>
      </c>
      <c r="G270" s="54"/>
      <c r="H270" s="54"/>
      <c r="I270" s="51">
        <f>F270*H269</f>
        <v>1.3518720047585898E-2</v>
      </c>
    </row>
    <row r="273" spans="2:9" ht="58" x14ac:dyDescent="0.35">
      <c r="B273" s="50" t="s">
        <v>93</v>
      </c>
      <c r="C273" s="50" t="s">
        <v>296</v>
      </c>
      <c r="D273" s="50" t="s">
        <v>297</v>
      </c>
      <c r="E273" s="50" t="s">
        <v>298</v>
      </c>
      <c r="F273" s="50" t="s">
        <v>302</v>
      </c>
      <c r="G273" s="50" t="s">
        <v>303</v>
      </c>
      <c r="H273" s="50" t="s">
        <v>304</v>
      </c>
      <c r="I273" s="50" t="s">
        <v>297</v>
      </c>
    </row>
    <row r="274" spans="2:9" x14ac:dyDescent="0.35">
      <c r="B274" s="52" t="s">
        <v>458</v>
      </c>
      <c r="C274" s="27" t="s">
        <v>228</v>
      </c>
      <c r="D274" s="51">
        <v>20</v>
      </c>
      <c r="E274" s="52" t="s">
        <v>314</v>
      </c>
      <c r="F274" s="51">
        <f>D274/50</f>
        <v>0.4</v>
      </c>
      <c r="G274" s="52">
        <v>50</v>
      </c>
      <c r="H274" s="52">
        <f>G274/'MK-CPL'!G82</f>
        <v>7.0148855872160715E-2</v>
      </c>
      <c r="I274" s="51">
        <f>F274*H274</f>
        <v>2.8059542348864288E-2</v>
      </c>
    </row>
    <row r="275" spans="2:9" x14ac:dyDescent="0.35">
      <c r="B275" s="53"/>
      <c r="C275" s="27" t="s">
        <v>229</v>
      </c>
      <c r="D275" s="51">
        <v>20</v>
      </c>
      <c r="E275" s="54"/>
      <c r="F275" s="51">
        <f>D275/50</f>
        <v>0.4</v>
      </c>
      <c r="G275" s="54"/>
      <c r="H275" s="54"/>
      <c r="I275" s="51">
        <f>F275*H274</f>
        <v>2.8059542348864288E-2</v>
      </c>
    </row>
    <row r="276" spans="2:9" x14ac:dyDescent="0.35">
      <c r="B276" s="53"/>
      <c r="C276" s="27" t="s">
        <v>230</v>
      </c>
      <c r="D276" s="51">
        <v>20</v>
      </c>
      <c r="E276" s="52" t="s">
        <v>327</v>
      </c>
      <c r="F276" s="51">
        <f>D276/50</f>
        <v>0.4</v>
      </c>
      <c r="G276" s="52">
        <v>50</v>
      </c>
      <c r="H276" s="52">
        <f>G276/'MK-CPL'!K82</f>
        <v>3.3796800118964743E-2</v>
      </c>
      <c r="I276" s="51">
        <f>F276*H276</f>
        <v>1.3518720047585898E-2</v>
      </c>
    </row>
    <row r="277" spans="2:9" x14ac:dyDescent="0.35">
      <c r="B277" s="53"/>
      <c r="C277" s="27" t="s">
        <v>231</v>
      </c>
      <c r="D277" s="51">
        <v>20</v>
      </c>
      <c r="E277" s="53"/>
      <c r="F277" s="51">
        <f>D277/50</f>
        <v>0.4</v>
      </c>
      <c r="G277" s="53"/>
      <c r="H277" s="53"/>
      <c r="I277" s="51">
        <f>F277*H276</f>
        <v>1.3518720047585898E-2</v>
      </c>
    </row>
    <row r="278" spans="2:9" x14ac:dyDescent="0.35">
      <c r="B278" s="54"/>
      <c r="C278" s="27" t="s">
        <v>232</v>
      </c>
      <c r="D278" s="51">
        <v>20</v>
      </c>
      <c r="E278" s="54"/>
      <c r="F278" s="51">
        <f>D278/50</f>
        <v>0.4</v>
      </c>
      <c r="G278" s="54"/>
      <c r="H278" s="54"/>
      <c r="I278" s="51">
        <f>F278*H276</f>
        <v>1.3518720047585898E-2</v>
      </c>
    </row>
    <row r="281" spans="2:9" ht="58" x14ac:dyDescent="0.35">
      <c r="B281" s="50" t="s">
        <v>93</v>
      </c>
      <c r="C281" s="50" t="s">
        <v>296</v>
      </c>
      <c r="D281" s="50" t="s">
        <v>297</v>
      </c>
      <c r="E281" s="50" t="s">
        <v>298</v>
      </c>
      <c r="F281" s="50" t="s">
        <v>302</v>
      </c>
      <c r="G281" s="50" t="s">
        <v>303</v>
      </c>
      <c r="H281" s="50" t="s">
        <v>304</v>
      </c>
      <c r="I281" s="50" t="s">
        <v>297</v>
      </c>
    </row>
    <row r="282" spans="2:9" x14ac:dyDescent="0.35">
      <c r="B282" s="52" t="s">
        <v>464</v>
      </c>
      <c r="C282" s="27" t="s">
        <v>228</v>
      </c>
      <c r="D282" s="51">
        <v>20</v>
      </c>
      <c r="E282" s="55" t="s">
        <v>314</v>
      </c>
      <c r="F282" s="51">
        <f>D282/G282</f>
        <v>0.60006000600060005</v>
      </c>
      <c r="G282" s="55">
        <v>33.33</v>
      </c>
      <c r="H282" s="55">
        <f>G282/'MK-CPL'!G82</f>
        <v>4.6761227324382329E-2</v>
      </c>
      <c r="I282" s="51">
        <f>F282*H282</f>
        <v>2.8059542348864285E-2</v>
      </c>
    </row>
    <row r="283" spans="2:9" x14ac:dyDescent="0.35">
      <c r="B283" s="53"/>
      <c r="C283" s="27" t="s">
        <v>229</v>
      </c>
      <c r="D283" s="51">
        <v>20</v>
      </c>
      <c r="E283" s="55" t="s">
        <v>327</v>
      </c>
      <c r="F283" s="51">
        <f t="shared" ref="F283:F286" si="4">D283/G283</f>
        <v>0.60006000600060005</v>
      </c>
      <c r="G283" s="55">
        <v>33.33</v>
      </c>
      <c r="H283" s="55">
        <f>G283/'MK-CPL'!K82</f>
        <v>2.2528946959301896E-2</v>
      </c>
      <c r="I283" s="51">
        <f t="shared" ref="I283:I286" si="5">F283*H283</f>
        <v>1.3518720047585897E-2</v>
      </c>
    </row>
    <row r="284" spans="2:9" x14ac:dyDescent="0.35">
      <c r="B284" s="53"/>
      <c r="C284" s="27" t="s">
        <v>230</v>
      </c>
      <c r="D284" s="51">
        <v>20</v>
      </c>
      <c r="E284" s="55" t="s">
        <v>314</v>
      </c>
      <c r="F284" s="51">
        <f t="shared" si="4"/>
        <v>0.60006000600060005</v>
      </c>
      <c r="G284" s="55">
        <v>33.33</v>
      </c>
      <c r="H284" s="55">
        <f>G284/'MK-CPL'!G82</f>
        <v>4.6761227324382329E-2</v>
      </c>
      <c r="I284" s="51">
        <f t="shared" si="5"/>
        <v>2.8059542348864285E-2</v>
      </c>
    </row>
    <row r="285" spans="2:9" x14ac:dyDescent="0.35">
      <c r="B285" s="53"/>
      <c r="C285" s="27" t="s">
        <v>231</v>
      </c>
      <c r="D285" s="51">
        <v>20</v>
      </c>
      <c r="E285" s="55" t="s">
        <v>379</v>
      </c>
      <c r="F285" s="51">
        <f t="shared" si="4"/>
        <v>0.60006000600060005</v>
      </c>
      <c r="G285" s="55">
        <v>33.33</v>
      </c>
      <c r="H285" s="55">
        <f>G285/'MK-CPL'!I82</f>
        <v>7.2022819111005471E-2</v>
      </c>
      <c r="I285" s="51">
        <f t="shared" si="5"/>
        <v>4.3218013267930074E-2</v>
      </c>
    </row>
    <row r="286" spans="2:9" x14ac:dyDescent="0.35">
      <c r="B286" s="54"/>
      <c r="C286" s="27" t="s">
        <v>232</v>
      </c>
      <c r="D286" s="51">
        <v>20</v>
      </c>
      <c r="E286" s="55" t="s">
        <v>314</v>
      </c>
      <c r="F286" s="51">
        <f t="shared" si="4"/>
        <v>0.60006000600060005</v>
      </c>
      <c r="G286" s="55">
        <v>33.33</v>
      </c>
      <c r="H286" s="55">
        <f>G286/'MK-CPL'!G82</f>
        <v>4.6761227324382329E-2</v>
      </c>
      <c r="I286" s="51">
        <f t="shared" si="5"/>
        <v>2.8059542348864285E-2</v>
      </c>
    </row>
    <row r="289" spans="2:9" ht="58" x14ac:dyDescent="0.35">
      <c r="B289" s="50" t="s">
        <v>93</v>
      </c>
      <c r="C289" s="50" t="s">
        <v>296</v>
      </c>
      <c r="D289" s="50" t="s">
        <v>297</v>
      </c>
      <c r="E289" s="50" t="s">
        <v>298</v>
      </c>
      <c r="F289" s="50" t="s">
        <v>302</v>
      </c>
      <c r="G289" s="50" t="s">
        <v>303</v>
      </c>
      <c r="H289" s="50" t="s">
        <v>304</v>
      </c>
      <c r="I289" s="50" t="s">
        <v>297</v>
      </c>
    </row>
    <row r="290" spans="2:9" x14ac:dyDescent="0.35">
      <c r="B290" s="52" t="s">
        <v>169</v>
      </c>
      <c r="C290" s="27" t="s">
        <v>228</v>
      </c>
      <c r="D290" s="51">
        <v>20</v>
      </c>
      <c r="E290" s="55" t="s">
        <v>338</v>
      </c>
      <c r="F290" s="51">
        <f>D290/G290</f>
        <v>0.4</v>
      </c>
      <c r="G290" s="55">
        <v>50</v>
      </c>
      <c r="H290" s="55">
        <f>G290/'MK-CPL'!H82</f>
        <v>4.0125190594655337E-2</v>
      </c>
      <c r="I290" s="51">
        <f>F290*H290</f>
        <v>1.6050076237862136E-2</v>
      </c>
    </row>
    <row r="291" spans="2:9" x14ac:dyDescent="0.35">
      <c r="B291" s="53"/>
      <c r="C291" s="27" t="s">
        <v>229</v>
      </c>
      <c r="D291" s="51">
        <v>20</v>
      </c>
      <c r="E291" s="52" t="s">
        <v>327</v>
      </c>
      <c r="F291" s="51">
        <f t="shared" ref="F291:F293" si="6">D291/G291</f>
        <v>0.4</v>
      </c>
      <c r="G291" s="52">
        <v>50</v>
      </c>
      <c r="H291" s="52">
        <f>G291/'MK-CPL'!K82</f>
        <v>3.3796800118964743E-2</v>
      </c>
      <c r="I291" s="51">
        <f>F291*H291</f>
        <v>1.3518720047585898E-2</v>
      </c>
    </row>
    <row r="292" spans="2:9" x14ac:dyDescent="0.35">
      <c r="B292" s="53"/>
      <c r="C292" s="27" t="s">
        <v>230</v>
      </c>
      <c r="D292" s="51">
        <v>20</v>
      </c>
      <c r="E292" s="54"/>
      <c r="F292" s="51">
        <f>D292/G291</f>
        <v>0.4</v>
      </c>
      <c r="G292" s="54"/>
      <c r="H292" s="54"/>
      <c r="I292" s="51">
        <f>F292*H291</f>
        <v>1.3518720047585898E-2</v>
      </c>
    </row>
    <row r="293" spans="2:9" x14ac:dyDescent="0.35">
      <c r="B293" s="53"/>
      <c r="C293" s="27" t="s">
        <v>231</v>
      </c>
      <c r="D293" s="51">
        <v>20</v>
      </c>
      <c r="E293" s="52" t="s">
        <v>338</v>
      </c>
      <c r="F293" s="51">
        <f t="shared" si="6"/>
        <v>0.4</v>
      </c>
      <c r="G293" s="52">
        <v>50</v>
      </c>
      <c r="H293" s="52">
        <f>G293/'MK-CPL'!H82</f>
        <v>4.0125190594655337E-2</v>
      </c>
      <c r="I293" s="51">
        <f>F293*H293</f>
        <v>1.6050076237862136E-2</v>
      </c>
    </row>
    <row r="294" spans="2:9" x14ac:dyDescent="0.35">
      <c r="B294" s="54"/>
      <c r="C294" s="27" t="s">
        <v>232</v>
      </c>
      <c r="D294" s="51">
        <v>20</v>
      </c>
      <c r="E294" s="54"/>
      <c r="F294" s="51">
        <f>D294/G293</f>
        <v>0.4</v>
      </c>
      <c r="G294" s="54"/>
      <c r="H294" s="54"/>
      <c r="I294" s="51">
        <f>F294*H293</f>
        <v>1.6050076237862136E-2</v>
      </c>
    </row>
    <row r="297" spans="2:9" ht="58" x14ac:dyDescent="0.35">
      <c r="B297" s="50" t="s">
        <v>93</v>
      </c>
      <c r="C297" s="50" t="s">
        <v>296</v>
      </c>
      <c r="D297" s="50" t="s">
        <v>297</v>
      </c>
      <c r="E297" s="50" t="s">
        <v>298</v>
      </c>
      <c r="F297" s="50" t="s">
        <v>302</v>
      </c>
      <c r="G297" s="50" t="s">
        <v>303</v>
      </c>
      <c r="H297" s="50" t="s">
        <v>304</v>
      </c>
      <c r="I297" s="50" t="s">
        <v>297</v>
      </c>
    </row>
    <row r="298" spans="2:9" x14ac:dyDescent="0.35">
      <c r="B298" s="52" t="s">
        <v>171</v>
      </c>
      <c r="C298" s="27" t="s">
        <v>228</v>
      </c>
      <c r="D298" s="51">
        <v>20</v>
      </c>
      <c r="E298" s="55" t="s">
        <v>338</v>
      </c>
      <c r="F298" s="51">
        <f>D298/G298</f>
        <v>0.4</v>
      </c>
      <c r="G298" s="55">
        <v>50</v>
      </c>
      <c r="H298" s="55">
        <f>G298/'MK-CPL'!H82</f>
        <v>4.0125190594655337E-2</v>
      </c>
      <c r="I298" s="51">
        <f>F298*H298</f>
        <v>1.6050076237862136E-2</v>
      </c>
    </row>
    <row r="299" spans="2:9" x14ac:dyDescent="0.35">
      <c r="B299" s="53"/>
      <c r="C299" s="27" t="s">
        <v>229</v>
      </c>
      <c r="D299" s="51">
        <v>20</v>
      </c>
      <c r="E299" s="49" t="s">
        <v>327</v>
      </c>
      <c r="F299" s="51">
        <f t="shared" ref="F299" si="7">D299/G299</f>
        <v>0.4</v>
      </c>
      <c r="G299" s="49">
        <v>50</v>
      </c>
      <c r="H299" s="49">
        <f>G299/'MK-CPL'!K82</f>
        <v>3.3796800118964743E-2</v>
      </c>
      <c r="I299" s="51">
        <f>F299*H299</f>
        <v>1.3518720047585898E-2</v>
      </c>
    </row>
    <row r="300" spans="2:9" x14ac:dyDescent="0.35">
      <c r="B300" s="53"/>
      <c r="C300" s="27" t="s">
        <v>230</v>
      </c>
      <c r="D300" s="51">
        <v>20</v>
      </c>
      <c r="E300" s="49"/>
      <c r="F300" s="51">
        <f>D300/G299</f>
        <v>0.4</v>
      </c>
      <c r="G300" s="49"/>
      <c r="H300" s="49"/>
      <c r="I300" s="51">
        <f>F300*H299</f>
        <v>1.3518720047585898E-2</v>
      </c>
    </row>
    <row r="301" spans="2:9" x14ac:dyDescent="0.35">
      <c r="B301" s="53"/>
      <c r="C301" s="27" t="s">
        <v>231</v>
      </c>
      <c r="D301" s="51">
        <v>20</v>
      </c>
      <c r="E301" s="49"/>
      <c r="F301" s="51">
        <f>D301/G299</f>
        <v>0.4</v>
      </c>
      <c r="G301" s="49"/>
      <c r="H301" s="49"/>
      <c r="I301" s="51">
        <f>F301*H299</f>
        <v>1.3518720047585898E-2</v>
      </c>
    </row>
    <row r="302" spans="2:9" x14ac:dyDescent="0.35">
      <c r="B302" s="54"/>
      <c r="C302" s="27" t="s">
        <v>232</v>
      </c>
      <c r="D302" s="51">
        <v>20</v>
      </c>
      <c r="E302" s="55" t="s">
        <v>338</v>
      </c>
      <c r="F302" s="51">
        <f>D302/G302</f>
        <v>0.4</v>
      </c>
      <c r="G302" s="55">
        <v>50</v>
      </c>
      <c r="H302" s="56">
        <f>G302/'MK-CPL'!H82</f>
        <v>4.0125190594655337E-2</v>
      </c>
      <c r="I302" s="51">
        <f>F302*H302</f>
        <v>1.6050076237862136E-2</v>
      </c>
    </row>
  </sheetData>
  <mergeCells count="325">
    <mergeCell ref="L193:L199"/>
    <mergeCell ref="O193:O194"/>
    <mergeCell ref="O196:O197"/>
    <mergeCell ref="Q193:Q194"/>
    <mergeCell ref="Q196:Q197"/>
    <mergeCell ref="R193:R194"/>
    <mergeCell ref="R196:R197"/>
    <mergeCell ref="L185:L190"/>
    <mergeCell ref="O185:O189"/>
    <mergeCell ref="Q185:Q189"/>
    <mergeCell ref="R185:R189"/>
    <mergeCell ref="R172:R173"/>
    <mergeCell ref="L176:L182"/>
    <mergeCell ref="L168:L173"/>
    <mergeCell ref="O169:O170"/>
    <mergeCell ref="O172:O173"/>
    <mergeCell ref="Q169:Q170"/>
    <mergeCell ref="Q172:Q173"/>
    <mergeCell ref="R169:R170"/>
    <mergeCell ref="O152:O155"/>
    <mergeCell ref="Q152:Q155"/>
    <mergeCell ref="R152:R155"/>
    <mergeCell ref="L160:L164"/>
    <mergeCell ref="O160:O163"/>
    <mergeCell ref="Q160:Q163"/>
    <mergeCell ref="R160:R163"/>
    <mergeCell ref="Q147:Q148"/>
    <mergeCell ref="R144:R145"/>
    <mergeCell ref="R147:R148"/>
    <mergeCell ref="L152:L156"/>
    <mergeCell ref="O138:O139"/>
    <mergeCell ref="Q138:Q139"/>
    <mergeCell ref="R138:R139"/>
    <mergeCell ref="L144:L148"/>
    <mergeCell ref="O144:O145"/>
    <mergeCell ref="O147:O148"/>
    <mergeCell ref="Q144:Q145"/>
    <mergeCell ref="L137:L141"/>
    <mergeCell ref="L127:L131"/>
    <mergeCell ref="O127:O128"/>
    <mergeCell ref="Q127:Q128"/>
    <mergeCell ref="R127:R128"/>
    <mergeCell ref="O130:O131"/>
    <mergeCell ref="Q130:Q131"/>
    <mergeCell ref="R130:R131"/>
    <mergeCell ref="L119:L123"/>
    <mergeCell ref="O122:O123"/>
    <mergeCell ref="Q122:Q123"/>
    <mergeCell ref="R122:R123"/>
    <mergeCell ref="O119:O120"/>
    <mergeCell ref="Q119:Q120"/>
    <mergeCell ref="R119:R120"/>
    <mergeCell ref="L112:L116"/>
    <mergeCell ref="O112:O114"/>
    <mergeCell ref="Q112:Q114"/>
    <mergeCell ref="R112:R114"/>
    <mergeCell ref="O115:O116"/>
    <mergeCell ref="Q115:Q116"/>
    <mergeCell ref="R115:R116"/>
    <mergeCell ref="L105:L109"/>
    <mergeCell ref="O105:O107"/>
    <mergeCell ref="Q105:Q107"/>
    <mergeCell ref="R105:R107"/>
    <mergeCell ref="O108:O109"/>
    <mergeCell ref="Q108:Q109"/>
    <mergeCell ref="R108:R109"/>
    <mergeCell ref="L97:L101"/>
    <mergeCell ref="O97:O99"/>
    <mergeCell ref="O100:O101"/>
    <mergeCell ref="Q97:Q99"/>
    <mergeCell ref="R97:R99"/>
    <mergeCell ref="R100:R101"/>
    <mergeCell ref="Q100:Q101"/>
    <mergeCell ref="O82:O84"/>
    <mergeCell ref="Q82:Q84"/>
    <mergeCell ref="R82:R84"/>
    <mergeCell ref="L89:L93"/>
    <mergeCell ref="O89:O90"/>
    <mergeCell ref="Q89:Q90"/>
    <mergeCell ref="R89:R90"/>
    <mergeCell ref="L81:L85"/>
    <mergeCell ref="O73:O75"/>
    <mergeCell ref="Q73:Q75"/>
    <mergeCell ref="R73:R75"/>
    <mergeCell ref="O76:O77"/>
    <mergeCell ref="Q76:Q77"/>
    <mergeCell ref="R76:R77"/>
    <mergeCell ref="Q66:Q67"/>
    <mergeCell ref="Q68:Q70"/>
    <mergeCell ref="R66:R67"/>
    <mergeCell ref="R68:R70"/>
    <mergeCell ref="L73:L77"/>
    <mergeCell ref="L66:L70"/>
    <mergeCell ref="O66:O67"/>
    <mergeCell ref="O68:O70"/>
    <mergeCell ref="O57:O58"/>
    <mergeCell ref="O59:O60"/>
    <mergeCell ref="Q57:Q58"/>
    <mergeCell ref="Q59:Q60"/>
    <mergeCell ref="R57:R58"/>
    <mergeCell ref="R59:R60"/>
    <mergeCell ref="L56:L60"/>
    <mergeCell ref="L48:L52"/>
    <mergeCell ref="O48:O49"/>
    <mergeCell ref="Q48:Q49"/>
    <mergeCell ref="R48:R49"/>
    <mergeCell ref="O51:O52"/>
    <mergeCell ref="Q51:Q52"/>
    <mergeCell ref="R51:R52"/>
    <mergeCell ref="O41:O42"/>
    <mergeCell ref="O43:O45"/>
    <mergeCell ref="Q41:Q42"/>
    <mergeCell ref="Q43:Q45"/>
    <mergeCell ref="R41:R42"/>
    <mergeCell ref="R43:R45"/>
    <mergeCell ref="Q35:Q36"/>
    <mergeCell ref="Q37:Q38"/>
    <mergeCell ref="R35:R36"/>
    <mergeCell ref="R37:R38"/>
    <mergeCell ref="L41:L45"/>
    <mergeCell ref="L27:L31"/>
    <mergeCell ref="O27:O30"/>
    <mergeCell ref="Q27:Q30"/>
    <mergeCell ref="R27:R30"/>
    <mergeCell ref="L34:L38"/>
    <mergeCell ref="O35:O36"/>
    <mergeCell ref="O37:O38"/>
    <mergeCell ref="L19:L23"/>
    <mergeCell ref="O19:O22"/>
    <mergeCell ref="Q19:Q22"/>
    <mergeCell ref="R19:R22"/>
    <mergeCell ref="L12:L16"/>
    <mergeCell ref="O15:O16"/>
    <mergeCell ref="Q15:Q16"/>
    <mergeCell ref="R15:R16"/>
    <mergeCell ref="L5:L9"/>
    <mergeCell ref="O5:O6"/>
    <mergeCell ref="Q5:Q6"/>
    <mergeCell ref="R5:R6"/>
    <mergeCell ref="B298:B302"/>
    <mergeCell ref="E299:E301"/>
    <mergeCell ref="G299:G301"/>
    <mergeCell ref="H299:H301"/>
    <mergeCell ref="B290:B294"/>
    <mergeCell ref="E291:E292"/>
    <mergeCell ref="E293:E294"/>
    <mergeCell ref="G291:G292"/>
    <mergeCell ref="G293:G294"/>
    <mergeCell ref="H291:H292"/>
    <mergeCell ref="H293:H294"/>
    <mergeCell ref="B282:B286"/>
    <mergeCell ref="H269:H270"/>
    <mergeCell ref="B274:B278"/>
    <mergeCell ref="E274:E275"/>
    <mergeCell ref="G274:G275"/>
    <mergeCell ref="H274:H275"/>
    <mergeCell ref="E276:E278"/>
    <mergeCell ref="G276:G278"/>
    <mergeCell ref="H276:H278"/>
    <mergeCell ref="G258:G260"/>
    <mergeCell ref="G261:G262"/>
    <mergeCell ref="H258:H260"/>
    <mergeCell ref="H261:H262"/>
    <mergeCell ref="B266:B270"/>
    <mergeCell ref="E266:E268"/>
    <mergeCell ref="G266:G268"/>
    <mergeCell ref="H266:H268"/>
    <mergeCell ref="E269:E270"/>
    <mergeCell ref="G269:G270"/>
    <mergeCell ref="B258:B262"/>
    <mergeCell ref="E258:E260"/>
    <mergeCell ref="E261:E262"/>
    <mergeCell ref="B250:B254"/>
    <mergeCell ref="E250:E253"/>
    <mergeCell ref="G250:G253"/>
    <mergeCell ref="H250:H253"/>
    <mergeCell ref="E243:E244"/>
    <mergeCell ref="E245:E246"/>
    <mergeCell ref="G243:G244"/>
    <mergeCell ref="G245:G246"/>
    <mergeCell ref="H243:H244"/>
    <mergeCell ref="H245:H246"/>
    <mergeCell ref="G234:G235"/>
    <mergeCell ref="G236:G238"/>
    <mergeCell ref="H234:H235"/>
    <mergeCell ref="H236:H238"/>
    <mergeCell ref="B242:B246"/>
    <mergeCell ref="B234:B238"/>
    <mergeCell ref="E234:E235"/>
    <mergeCell ref="E236:E238"/>
    <mergeCell ref="G217:G218"/>
    <mergeCell ref="G219:G221"/>
    <mergeCell ref="H217:H218"/>
    <mergeCell ref="H219:H221"/>
    <mergeCell ref="B227:B230"/>
    <mergeCell ref="E227:E229"/>
    <mergeCell ref="G227:G229"/>
    <mergeCell ref="H227:H229"/>
    <mergeCell ref="H212:H213"/>
    <mergeCell ref="B217:B221"/>
    <mergeCell ref="E217:E218"/>
    <mergeCell ref="E219:E221"/>
    <mergeCell ref="G201:G203"/>
    <mergeCell ref="G204:G205"/>
    <mergeCell ref="H201:H203"/>
    <mergeCell ref="H204:H205"/>
    <mergeCell ref="B209:B213"/>
    <mergeCell ref="E209:E211"/>
    <mergeCell ref="G209:G211"/>
    <mergeCell ref="H209:H211"/>
    <mergeCell ref="E212:E213"/>
    <mergeCell ref="G212:G213"/>
    <mergeCell ref="B201:B205"/>
    <mergeCell ref="E201:E203"/>
    <mergeCell ref="E204:E205"/>
    <mergeCell ref="B193:B197"/>
    <mergeCell ref="E193:E196"/>
    <mergeCell ref="G193:G196"/>
    <mergeCell ref="H193:H196"/>
    <mergeCell ref="B185:B189"/>
    <mergeCell ref="E187:E188"/>
    <mergeCell ref="G187:G188"/>
    <mergeCell ref="H187:H188"/>
    <mergeCell ref="B176:B180"/>
    <mergeCell ref="E176:E180"/>
    <mergeCell ref="G176:G180"/>
    <mergeCell ref="H176:H180"/>
    <mergeCell ref="B168:B172"/>
    <mergeCell ref="E168:E169"/>
    <mergeCell ref="E170:E172"/>
    <mergeCell ref="G168:G169"/>
    <mergeCell ref="G170:G172"/>
    <mergeCell ref="H168:H169"/>
    <mergeCell ref="H170:H172"/>
    <mergeCell ref="H153:H154"/>
    <mergeCell ref="B160:B164"/>
    <mergeCell ref="E163:E164"/>
    <mergeCell ref="G163:G164"/>
    <mergeCell ref="H163:H164"/>
    <mergeCell ref="H146:H148"/>
    <mergeCell ref="B152:B156"/>
    <mergeCell ref="E153:E154"/>
    <mergeCell ref="G153:G154"/>
    <mergeCell ref="B137:B140"/>
    <mergeCell ref="E137:E139"/>
    <mergeCell ref="G137:G139"/>
    <mergeCell ref="H137:H139"/>
    <mergeCell ref="B144:B148"/>
    <mergeCell ref="E144:E145"/>
    <mergeCell ref="E146:E148"/>
    <mergeCell ref="G144:G145"/>
    <mergeCell ref="G146:G148"/>
    <mergeCell ref="H144:H145"/>
    <mergeCell ref="H120:H123"/>
    <mergeCell ref="B127:B131"/>
    <mergeCell ref="H113:H115"/>
    <mergeCell ref="B119:B123"/>
    <mergeCell ref="E120:E123"/>
    <mergeCell ref="G120:G123"/>
    <mergeCell ref="B112:B115"/>
    <mergeCell ref="E113:E115"/>
    <mergeCell ref="G113:G115"/>
    <mergeCell ref="B105:B108"/>
    <mergeCell ref="E105:E108"/>
    <mergeCell ref="G105:G108"/>
    <mergeCell ref="H105:H108"/>
    <mergeCell ref="E98:E99"/>
    <mergeCell ref="E100:E101"/>
    <mergeCell ref="G98:G99"/>
    <mergeCell ref="G100:G101"/>
    <mergeCell ref="H98:H99"/>
    <mergeCell ref="H100:H101"/>
    <mergeCell ref="B97:B101"/>
    <mergeCell ref="E89:E90"/>
    <mergeCell ref="E91:E92"/>
    <mergeCell ref="G89:G90"/>
    <mergeCell ref="G91:G92"/>
    <mergeCell ref="H89:H90"/>
    <mergeCell ref="H91:H92"/>
    <mergeCell ref="G81:G83"/>
    <mergeCell ref="G84:G85"/>
    <mergeCell ref="H84:H85"/>
    <mergeCell ref="H81:H83"/>
    <mergeCell ref="B89:B93"/>
    <mergeCell ref="B81:B85"/>
    <mergeCell ref="E81:E83"/>
    <mergeCell ref="E84:E85"/>
    <mergeCell ref="G66:G68"/>
    <mergeCell ref="H66:H68"/>
    <mergeCell ref="B73:B77"/>
    <mergeCell ref="E74:E76"/>
    <mergeCell ref="G74:G76"/>
    <mergeCell ref="H74:H76"/>
    <mergeCell ref="B56:B60"/>
    <mergeCell ref="E56:E57"/>
    <mergeCell ref="G56:G57"/>
    <mergeCell ref="H56:H57"/>
    <mergeCell ref="B66:B69"/>
    <mergeCell ref="E66:E68"/>
    <mergeCell ref="B41:B44"/>
    <mergeCell ref="E42:E44"/>
    <mergeCell ref="G42:G44"/>
    <mergeCell ref="H42:H44"/>
    <mergeCell ref="B48:B52"/>
    <mergeCell ref="E49:E51"/>
    <mergeCell ref="G49:G51"/>
    <mergeCell ref="H49:H51"/>
    <mergeCell ref="B27:B30"/>
    <mergeCell ref="E27:E30"/>
    <mergeCell ref="G27:G30"/>
    <mergeCell ref="H27:H30"/>
    <mergeCell ref="B34:B37"/>
    <mergeCell ref="E34:E36"/>
    <mergeCell ref="G34:G36"/>
    <mergeCell ref="H34:H36"/>
    <mergeCell ref="B19:B23"/>
    <mergeCell ref="H19:H20"/>
    <mergeCell ref="G19:G20"/>
    <mergeCell ref="G21:G23"/>
    <mergeCell ref="H21:H23"/>
    <mergeCell ref="E6:E7"/>
    <mergeCell ref="G6:G7"/>
    <mergeCell ref="H6:H7"/>
    <mergeCell ref="B5:B8"/>
    <mergeCell ref="B12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</vt:lpstr>
      <vt:lpstr>CPL</vt:lpstr>
      <vt:lpstr>IK CPL</vt:lpstr>
      <vt:lpstr>MK-CPL</vt:lpstr>
      <vt:lpstr>CPMK</vt:lpstr>
      <vt:lpstr>Bobot CPMK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Sumardi Andi</dc:creator>
  <cp:lastModifiedBy>Sumardi Andi</cp:lastModifiedBy>
  <dcterms:created xsi:type="dcterms:W3CDTF">2025-11-20T03:25:14Z</dcterms:created>
  <dcterms:modified xsi:type="dcterms:W3CDTF">2025-12-14T11:57:09Z</dcterms:modified>
</cp:coreProperties>
</file>